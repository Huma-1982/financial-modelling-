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Assumptions" sheetId="2" state="visible" r:id="rId4"/>
    <sheet name="Cash Flow Engine" sheetId="3" state="visible" r:id="rId5"/>
    <sheet name="ROI Model" sheetId="4" state="visible" r:id="rId6"/>
    <sheet name="Payback Period" sheetId="5" state="visible" r:id="rId7"/>
    <sheet name="NPV Model" sheetId="6" state="visible" r:id="rId8"/>
    <sheet name="IRR Model" sheetId="7" state="visible" r:id="rId9"/>
    <sheet name="Customer LTV" sheetId="8" state="visible" r:id="rId10"/>
    <sheet name="Break-Even Analysis"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<sst xmlns="http://schemas.openxmlformats.org/spreadsheetml/2006/main" count="290" uniqueCount="204">
  <si>
    <t xml:space="preserve">SKYCONNECT AIRLINES - CAPITAL INVESTMENT FINANCIAL MODEL</t>
  </si>
  <si>
    <t xml:space="preserve">New Route &amp; Fleet Expansion: Boston (BOS) to London (LHR), Boeing 787-9</t>
  </si>
  <si>
    <t xml:space="preserve">Prepared by: Financial Planning &amp; Analysis (FP&amp;A) Team</t>
  </si>
  <si>
    <t xml:space="preserve">Purpose: Investment appraisal for new long-haul route launch</t>
  </si>
  <si>
    <t xml:space="preserve">PROJECT OVERVIEW</t>
  </si>
  <si>
    <t xml:space="preserve">SkyConnect Airlines is evaluating a $47.0mm capital investment to launch a new long-haul route between Boston (BOS) and London (LHR) using a leased Boeing 787-9 aircraft. This workbook presents a complete investment appraisal using six standard corporate finance techniques, built on a single shared set of assumptions so the entire model updates instantly when inputs change.</t>
  </si>
  <si>
    <t xml:space="preserve">WORKBOOK STRUCTURE - HOW EACH MODEL WORKS</t>
  </si>
  <si>
    <t xml:space="preserve">1. Assumptions</t>
  </si>
  <si>
    <t xml:space="preserve">Every hard-coded input lives here (bold blue font). Nothing is hardcoded anywhere else, every other tab pulls from this sheet via formula, so updating one number here recalculates the entire model.</t>
  </si>
  <si>
    <t xml:space="preserve">2. Cash Flow Engine</t>
  </si>
  <si>
    <t xml:space="preserve">Builds the 10-year unlevered free cash flow projection (revenue, costs, D&amp;A, tax, capex) that feeds the ROI, Payback, NPV and IRR tabs. This is the single source of truth for project cash flows.</t>
  </si>
  <si>
    <t xml:space="preserve">3. ROI Model</t>
  </si>
  <si>
    <t xml:space="preserve">Return on Investment = Total Net Profit / Total Investment. Shows simple and annualized ROI, answering how much do we make back per dollar invested.</t>
  </si>
  <si>
    <t xml:space="preserve">4. Payback Period</t>
  </si>
  <si>
    <t xml:space="preserve">Calculates simple and discounted payback, how many years until cumulative cash flow turns positive. Includes a break-even year interpolation formula.</t>
  </si>
  <si>
    <t xml:space="preserve">5. NPV Model</t>
  </si>
  <si>
    <t xml:space="preserve">Discounts all future free cash flows to present value at the company WACC to test whether the route adds shareholder value (NPV &gt; 0).</t>
  </si>
  <si>
    <t xml:space="preserve">6. IRR Model</t>
  </si>
  <si>
    <t xml:space="preserve">Solves for the discount rate at which NPV = 0, and compares it to WACC and a sensitivity table across discount rates and revenue growth.</t>
  </si>
  <si>
    <t xml:space="preserve">7. Customer LTV</t>
  </si>
  <si>
    <t xml:space="preserve">Models the lifetime value of a long-haul passenger, factoring in retention rate, contribution margin, and acquisition cost, to sanity-check the commercial assumptions behind the route.</t>
  </si>
  <si>
    <t xml:space="preserve">8. Break-Even</t>
  </si>
  <si>
    <t xml:space="preserve">Solves for the passenger load / revenue level at which the route covers its fixed and variable costs, with a load-factor sensitivity table.</t>
  </si>
  <si>
    <t xml:space="preserve">MODEL CONVENTIONS (INDUSTRY STANDARD)</t>
  </si>
  <si>
    <t xml:space="preserve">Blue bold font</t>
  </si>
  <si>
    <t xml:space="preserve">Hardcoded input, the only cells you should ever type over</t>
  </si>
  <si>
    <t xml:space="preserve">Black font</t>
  </si>
  <si>
    <t xml:space="preserve">Formula / calculation, never hardcoded</t>
  </si>
  <si>
    <t xml:space="preserve">Green font</t>
  </si>
  <si>
    <t xml:space="preserve">Link pulling from another sheet in this workbook</t>
  </si>
  <si>
    <t xml:space="preserve">All models</t>
  </si>
  <si>
    <t xml:space="preserve">Zero hardcoded values inside formulas; all assumptions centralized on the Assumptions tab</t>
  </si>
  <si>
    <t xml:space="preserve">ASSUMPTIONS - SINGLE SOURCE OF TRUTH</t>
  </si>
  <si>
    <t xml:space="preserve">Change any yellow/blue cell below and the entire workbook recalculates.</t>
  </si>
  <si>
    <t xml:space="preserve">Assumption</t>
  </si>
  <si>
    <t xml:space="preserve">Value</t>
  </si>
  <si>
    <t xml:space="preserve">Unit</t>
  </si>
  <si>
    <t xml:space="preserve">Notes / Source</t>
  </si>
  <si>
    <t xml:space="preserve">A. INVESTMENT &amp; PROJECT SCOPE</t>
  </si>
  <si>
    <t xml:space="preserve">Aircraft acquisition &amp; cabin fit-out cost</t>
  </si>
  <si>
    <t xml:space="preserve">USD</t>
  </si>
  <si>
    <t xml:space="preserve">Leased 787-9 induction + interior config, Source: Fleet Planning memo</t>
  </si>
  <si>
    <t xml:space="preserve">Route launch &amp; working capital (crew, slots, marketing)</t>
  </si>
  <si>
    <t xml:space="preserve">One-time launch cost, Source: Network Planning budget</t>
  </si>
  <si>
    <t xml:space="preserve">Project evaluation horizon</t>
  </si>
  <si>
    <t xml:space="preserve">Years</t>
  </si>
  <si>
    <t xml:space="preserve">Salvage / residual value at end of horizon</t>
  </si>
  <si>
    <t xml:space="preserve">Est. lease return / disposal value</t>
  </si>
  <si>
    <t xml:space="preserve">Total Initial Investment</t>
  </si>
  <si>
    <t xml:space="preserve">B. REVENUE &amp; OPERATING COST DRIVERS</t>
  </si>
  <si>
    <t xml:space="preserve">Year 1 route revenue</t>
  </si>
  <si>
    <t xml:space="preserve">Load factor x seats x avg fare x frequency, Source: Network Planning</t>
  </si>
  <si>
    <t xml:space="preserve">Annual revenue growth rate</t>
  </si>
  <si>
    <t xml:space="preserve">%</t>
  </si>
  <si>
    <t xml:space="preserve">Route maturity ramp-up, Source: Commercial forecast</t>
  </si>
  <si>
    <t xml:space="preserve">Operating costs (% of revenue) - fuel, crew, MRO, airport fees</t>
  </si>
  <si>
    <t xml:space="preserve">Source: Route P&amp;L benchmark, comparable long-haul routes</t>
  </si>
  <si>
    <t xml:space="preserve">Depreciation life (straight-line)</t>
  </si>
  <si>
    <t xml:space="preserve">Years, matches lease term</t>
  </si>
  <si>
    <t xml:space="preserve">Corporate tax rate</t>
  </si>
  <si>
    <t xml:space="preserve">Effective statutory rate</t>
  </si>
  <si>
    <t xml:space="preserve">Discount rate / WACC</t>
  </si>
  <si>
    <t xml:space="preserve">Source: Corporate Treasury</t>
  </si>
  <si>
    <t xml:space="preserve">C. PASSENGER &amp; CUSTOMER LIFETIME VALUE (CLV) DRIVERS</t>
  </si>
  <si>
    <t xml:space="preserve">Average one-way fare per passenger</t>
  </si>
  <si>
    <t xml:space="preserve">Blended cabin mix (Y/W/J), Source: Revenue Mgmt</t>
  </si>
  <si>
    <t xml:space="preserve">Average trips per customer per year</t>
  </si>
  <si>
    <t xml:space="preserve">Loyalty program data, transatlantic segment</t>
  </si>
  <si>
    <t xml:space="preserve">Annual customer retention rate</t>
  </si>
  <si>
    <t xml:space="preserve">Source: Loyalty program cohort analysis</t>
  </si>
  <si>
    <t xml:space="preserve">Contribution margin per ticket</t>
  </si>
  <si>
    <t xml:space="preserve">After variable cost per passenger</t>
  </si>
  <si>
    <t xml:space="preserve">Customer acquisition cost (CAC)</t>
  </si>
  <si>
    <t xml:space="preserve">Marketing &amp; loyalty signup cost per customer</t>
  </si>
  <si>
    <t xml:space="preserve">D. BREAK-EVEN DRIVERS</t>
  </si>
  <si>
    <t xml:space="preserve">Annual fixed costs (crew base, slots, leasing, insurance)</t>
  </si>
  <si>
    <t xml:space="preserve">Source: Route P&amp;L fixed cost build-up</t>
  </si>
  <si>
    <t xml:space="preserve">Variable cost per passenger (fuel, catering, handling)</t>
  </si>
  <si>
    <t xml:space="preserve">Source: Cost accounting, per-pax variable cost</t>
  </si>
  <si>
    <t xml:space="preserve">Average ticket price per passenger</t>
  </si>
  <si>
    <t xml:space="preserve">Same as CLV fare assumption</t>
  </si>
  <si>
    <t xml:space="preserve">Aircraft seat capacity</t>
  </si>
  <si>
    <t xml:space="preserve">787-9 3-class configuration</t>
  </si>
  <si>
    <t xml:space="preserve">Planned annual frequencies (round trips)</t>
  </si>
  <si>
    <t xml:space="preserve">Daily service</t>
  </si>
  <si>
    <t xml:space="preserve">CASH FLOW ENGINE - 10-YEAR UNLEVERED FREE CASH FLOW</t>
  </si>
  <si>
    <t xml:space="preserve">Feeds the ROI, Payback, NPV and IRR tabs. All figures in USD ($mm shown to nearest whole $).</t>
  </si>
  <si>
    <t xml:space="preserve">Year</t>
  </si>
  <si>
    <t xml:space="preserve">Year 0</t>
  </si>
  <si>
    <t xml:space="preserve">Year 1</t>
  </si>
  <si>
    <t xml:space="preserve">Year 2</t>
  </si>
  <si>
    <t xml:space="preserve">Year 3</t>
  </si>
  <si>
    <t xml:space="preserve">Year 4</t>
  </si>
  <si>
    <t xml:space="preserve">Year 5</t>
  </si>
  <si>
    <t xml:space="preserve">Year 6</t>
  </si>
  <si>
    <t xml:space="preserve">Year 7</t>
  </si>
  <si>
    <t xml:space="preserve">Year 8</t>
  </si>
  <si>
    <t xml:space="preserve">Year 9</t>
  </si>
  <si>
    <t xml:space="preserve">Year 10</t>
  </si>
  <si>
    <t xml:space="preserve">Route Revenue</t>
  </si>
  <si>
    <t xml:space="preserve">Operating Costs (fuel, crew, MRO, fees)</t>
  </si>
  <si>
    <t xml:space="preserve">EBITDA</t>
  </si>
  <si>
    <t xml:space="preserve">Depreciation (straight-line)</t>
  </si>
  <si>
    <t xml:space="preserve">EBIT</t>
  </si>
  <si>
    <t xml:space="preserve">Tax @ statutory rate</t>
  </si>
  <si>
    <t xml:space="preserve">NOPAT (after-tax operating profit)</t>
  </si>
  <si>
    <t xml:space="preserve">Add back: Depreciation</t>
  </si>
  <si>
    <t xml:space="preserve">Capital Expenditure (aircraft + fit-out)</t>
  </si>
  <si>
    <t xml:space="preserve">Working Capital / Route Launch Cost</t>
  </si>
  <si>
    <t xml:space="preserve">After-tax Salvage Value (final year)</t>
  </si>
  <si>
    <t xml:space="preserve">Free Cash Flow (FCF)</t>
  </si>
  <si>
    <t xml:space="preserve">Cumulative Free Cash Flow</t>
  </si>
  <si>
    <t xml:space="preserve">EBITDA Margin %</t>
  </si>
  <si>
    <t xml:space="preserve">RETURN ON INVESTMENT (ROI) MODEL</t>
  </si>
  <si>
    <t xml:space="preserve">ROI = Total Net Profit generated / Total Capital Invested. Measures overall return efficiency.</t>
  </si>
  <si>
    <t xml:space="preserve">Metric</t>
  </si>
  <si>
    <t xml:space="preserve">Total Free Cash Flow generated (Years 1-10)</t>
  </si>
  <si>
    <t xml:space="preserve">Total Net Profit (Total FCF less Initial Investment)</t>
  </si>
  <si>
    <t xml:space="preserve">ROI RESULTS</t>
  </si>
  <si>
    <t xml:space="preserve">Simple ROI (%)</t>
  </si>
  <si>
    <t xml:space="preserve">Project Life (Years)</t>
  </si>
  <si>
    <t xml:space="preserve">Annualized ROI (%)</t>
  </si>
  <si>
    <t xml:space="preserve">ROI Multiple (x invested capital returned)</t>
  </si>
  <si>
    <t xml:space="preserve">YEAR-BY-YEAR ROI BUILD-UP</t>
  </si>
  <si>
    <t xml:space="preserve">FCF</t>
  </si>
  <si>
    <t xml:space="preserve">Cumulative FCF</t>
  </si>
  <si>
    <t xml:space="preserve">Cumulative Net Profit</t>
  </si>
  <si>
    <t xml:space="preserve">Cumulative ROI %</t>
  </si>
  <si>
    <t xml:space="preserve">INTERPRETATION</t>
  </si>
  <si>
    <t xml:space="preserve">A Simple ROI above 0% means the route returns more cash than was invested over its 10-year life. Annualized ROI approximates the average yearly return and is best read alongside the IRR tab, which properly accounts for the time value of money.</t>
  </si>
  <si>
    <t xml:space="preserve">PAYBACK PERIOD MODEL (SIMPLE &amp; DISCOUNTED)</t>
  </si>
  <si>
    <t xml:space="preserve">Years until cumulative cash flow turns positive - a liquidity / risk check that complements NPV and IRR.</t>
  </si>
  <si>
    <t xml:space="preserve">Free Cash Flow</t>
  </si>
  <si>
    <t xml:space="preserve">Cumulative FCF (Simple)</t>
  </si>
  <si>
    <t xml:space="preserve">Discount Rate (WACC)</t>
  </si>
  <si>
    <t xml:space="preserve">Discount Factor</t>
  </si>
  <si>
    <t xml:space="preserve">Discounted FCF</t>
  </si>
  <si>
    <t xml:space="preserve">Cumulative Discounted FCF</t>
  </si>
  <si>
    <t xml:space="preserve">PAYBACK RESULTS</t>
  </si>
  <si>
    <t xml:space="preserve">Full years before payback (simple)</t>
  </si>
  <si>
    <t xml:space="preserve">Simple Payback Period (Years)</t>
  </si>
  <si>
    <t xml:space="preserve">Full years before payback (discounted)</t>
  </si>
  <si>
    <t xml:space="preserve">Discounted Payback Period (Years)</t>
  </si>
  <si>
    <t xml:space="preserve">Payback vs Project Life</t>
  </si>
  <si>
    <t xml:space="preserve">NET PRESENT VALUE (NPV) MODEL</t>
  </si>
  <si>
    <t xml:space="preserve">NPV discounts every future free cash flow back to today at the WACC. NPV &gt; 0 means the route creates shareholder value.</t>
  </si>
  <si>
    <t xml:space="preserve">Discount Factor @ WACC</t>
  </si>
  <si>
    <t xml:space="preserve">Present Value of FCF</t>
  </si>
  <si>
    <t xml:space="preserve">NPV RESULTS</t>
  </si>
  <si>
    <t xml:space="preserve">PV of Year 1-10 Free Cash Flows</t>
  </si>
  <si>
    <t xml:space="preserve">Initial Investment (Year 0)</t>
  </si>
  <si>
    <t xml:space="preserve">NET PRESENT VALUE (NPV)</t>
  </si>
  <si>
    <t xml:space="preserve">Cross-check: NPV via NPV() function</t>
  </si>
  <si>
    <t xml:space="preserve">Profitability Index (PI = PV inflows / Investment)</t>
  </si>
  <si>
    <t xml:space="preserve">Investment Decision</t>
  </si>
  <si>
    <t xml:space="preserve">INTERNAL RATE OF RETURN (IRR) MODEL</t>
  </si>
  <si>
    <t xml:space="preserve">IRR is the discount rate at which NPV = 0. Compare IRR to WACC: IRR &gt; WACC means the route beats the cost of capital.</t>
  </si>
  <si>
    <t xml:space="preserve">IRR RESULTS</t>
  </si>
  <si>
    <t xml:space="preserve">Internal Rate of Return (IRR)</t>
  </si>
  <si>
    <t xml:space="preserve">WACC / Hurdle Rate</t>
  </si>
  <si>
    <t xml:space="preserve">IRR less WACC (spread)</t>
  </si>
  <si>
    <t xml:space="preserve">Modified IRR (MIRR) - reinvest at WACC, finance at WACC</t>
  </si>
  <si>
    <t xml:space="preserve">SENSITIVITY: NPV ($) BY DISCOUNT RATE vs REVENUE GROWTH RATE</t>
  </si>
  <si>
    <t xml:space="preserve">Rows = Discount Rate, Columns = Annual Revenue Growth Rate</t>
  </si>
  <si>
    <t xml:space="preserve">NPV ($)</t>
  </si>
  <si>
    <t xml:space="preserve">Double-bordered cell = base-case assumptions (9% WACC, 6% revenue growth).</t>
  </si>
  <si>
    <t xml:space="preserve">CUSTOMER LIFETIME VALUE (CLV) MODEL</t>
  </si>
  <si>
    <t xml:space="preserve">CLV = Annual Contribution per Customer x Average Customer Lifespan, less Acquisition Cost. Sanity-checks the commercial case for the route.</t>
  </si>
  <si>
    <t xml:space="preserve">Driver</t>
  </si>
  <si>
    <t xml:space="preserve">Average fare per ticket</t>
  </si>
  <si>
    <t xml:space="preserve">CLV CALCULATION</t>
  </si>
  <si>
    <t xml:space="preserve">Annual Revenue per Customer</t>
  </si>
  <si>
    <t xml:space="preserve">Annual Contribution per Customer</t>
  </si>
  <si>
    <t xml:space="preserve">Average Customer Lifespan (Years) = 1 / (1 - retention)</t>
  </si>
  <si>
    <t xml:space="preserve">Gross Customer Lifetime Value (undiscounted)</t>
  </si>
  <si>
    <t xml:space="preserve">Less: Customer Acquisition Cost</t>
  </si>
  <si>
    <t xml:space="preserve">NET CUSTOMER LIFETIME VALUE (CLV)</t>
  </si>
  <si>
    <t xml:space="preserve">CLV : CAC Ratio (should exceed 3.0x for a healthy program)</t>
  </si>
  <si>
    <t xml:space="preserve">DISCOUNTED CLV (TIME VALUE OF MONEY)</t>
  </si>
  <si>
    <t xml:space="preserve">Applies WACC to discount each future year of the average customer lifespan back to present value.</t>
  </si>
  <si>
    <t xml:space="preserve">Retained Customer %</t>
  </si>
  <si>
    <t xml:space="preserve">Contribution</t>
  </si>
  <si>
    <t xml:space="preserve">PV of Contribution</t>
  </si>
  <si>
    <t xml:space="preserve">Discounted CLV (10-yr horizon, before CAC)</t>
  </si>
  <si>
    <t xml:space="preserve">Discounted Net CLV (after CAC)</t>
  </si>
  <si>
    <t xml:space="preserve">A CLV:CAC ratio above 3.0x signals the route's loyalty economics are healthy enough to justify the marketing spend required to fill premium cabins. This complements the NPV/IRR view by testing the demand side, not just the capex side, of the investment case.</t>
  </si>
  <si>
    <t xml:space="preserve">BREAK-EVEN ANALYSIS</t>
  </si>
  <si>
    <t xml:space="preserve">Solves for the passenger volume / load factor at which the route exactly covers fixed and variable costs.</t>
  </si>
  <si>
    <t xml:space="preserve">Annual fixed costs</t>
  </si>
  <si>
    <t xml:space="preserve">Variable cost per passenger</t>
  </si>
  <si>
    <t xml:space="preserve">BREAK-EVEN CALCULATION</t>
  </si>
  <si>
    <t xml:space="preserve">Contribution Margin per Passenger</t>
  </si>
  <si>
    <t xml:space="preserve">Contribution Margin %</t>
  </si>
  <si>
    <t xml:space="preserve">BREAK-EVEN PASSENGERS PER YEAR</t>
  </si>
  <si>
    <t xml:space="preserve">BREAK-EVEN REVENUE PER YEAR</t>
  </si>
  <si>
    <t xml:space="preserve">Total Annual Seat Capacity (seats x round trips x 2 legs)</t>
  </si>
  <si>
    <t xml:space="preserve">BREAK-EVEN LOAD FACTOR (% of seats that must be filled)</t>
  </si>
  <si>
    <t xml:space="preserve">Expected Annual Passengers (using Year 1 revenue assumption)</t>
  </si>
  <si>
    <t xml:space="preserve">Expected Load Factor</t>
  </si>
  <si>
    <t xml:space="preserve">Margin of Safety (Expected Load Factor less Break-Even Load Factor)</t>
  </si>
  <si>
    <t xml:space="preserve">LOAD FACTOR SENSITIVITY - ANNUAL PROFIT / (LOSS)</t>
  </si>
  <si>
    <t xml:space="preserve">Load Factor</t>
  </si>
  <si>
    <t xml:space="preserve">Annual Profit / (Loss)</t>
  </si>
  <si>
    <t xml:space="preserve">The route must fill roughly the break-even load factor of every flight to cover fixed and variable costs. Comparing this to the expected load factor from the commercial forecast shows the operating margin of safety before the route turns unprofitable.</t>
  </si>
</sst>
</file>

<file path=xl/styles.xml><?xml version="1.0" encoding="utf-8"?>
<styleSheet xmlns="http://schemas.openxmlformats.org/spreadsheetml/2006/main">
  <numFmts count="9">
    <numFmt numFmtId="164" formatCode="General"/>
    <numFmt numFmtId="165" formatCode="\$#,##0;&quot;($&quot;#,##0\);\-"/>
    <numFmt numFmtId="166" formatCode="#,##0;\(#,##0\);\-"/>
    <numFmt numFmtId="167" formatCode="0.0%;\(0.0%\);\-"/>
    <numFmt numFmtId="168" formatCode="\$#,##0.00;&quot;($&quot;#,##0.00\);\-"/>
    <numFmt numFmtId="169" formatCode="#,##0.0;\(#,##0.0\);\-"/>
    <numFmt numFmtId="170" formatCode="0.00\x"/>
    <numFmt numFmtId="171" formatCode="0.000"/>
    <numFmt numFmtId="172" formatCode="0.00%;\(0.00%\);\-"/>
  </numFmts>
  <fonts count="21">
    <font>
      <sz val="11"/>
      <color theme="1"/>
      <name val="Calibri"/>
      <family val="2"/>
      <charset val="1"/>
    </font>
    <font>
      <sz val="10"/>
      <name val="Arial"/>
      <family val="0"/>
    </font>
    <font>
      <sz val="10"/>
      <name val="Arial"/>
      <family val="0"/>
    </font>
    <font>
      <sz val="10"/>
      <name val="Arial"/>
      <family val="0"/>
    </font>
    <font>
      <b val="true"/>
      <sz val="16"/>
      <color rgb="FF000000"/>
      <name val="Calibri"/>
      <family val="0"/>
      <charset val="1"/>
    </font>
    <font>
      <b val="true"/>
      <i val="true"/>
      <sz val="12"/>
      <color rgb="FF000000"/>
      <name val="Calibri"/>
      <family val="0"/>
      <charset val="1"/>
    </font>
    <font>
      <i val="true"/>
      <sz val="10"/>
      <color rgb="FF000000"/>
      <name val="Calibri"/>
      <family val="0"/>
      <charset val="1"/>
    </font>
    <font>
      <b val="true"/>
      <u val="single"/>
      <sz val="11"/>
      <color rgb="FF000000"/>
      <name val="Calibri"/>
      <family val="0"/>
      <charset val="1"/>
    </font>
    <font>
      <sz val="10"/>
      <name val="Calibri"/>
      <family val="0"/>
      <charset val="1"/>
    </font>
    <font>
      <b val="true"/>
      <sz val="10"/>
      <color rgb="FF000000"/>
      <name val="Calibri"/>
      <family val="0"/>
      <charset val="1"/>
    </font>
    <font>
      <sz val="9.5"/>
      <name val="Calibri"/>
      <family val="0"/>
      <charset val="1"/>
    </font>
    <font>
      <b val="true"/>
      <sz val="9.5"/>
      <color rgb="FF000000"/>
      <name val="Calibri"/>
      <family val="0"/>
      <charset val="1"/>
    </font>
    <font>
      <sz val="10"/>
      <color rgb="FF000000"/>
      <name val="Calibri"/>
      <family val="0"/>
      <charset val="1"/>
    </font>
    <font>
      <b val="true"/>
      <sz val="10"/>
      <color rgb="FF0000FF"/>
      <name val="Calibri"/>
      <family val="0"/>
      <charset val="1"/>
    </font>
    <font>
      <i val="true"/>
      <sz val="8.5"/>
      <color rgb="FF000000"/>
      <name val="Calibri"/>
      <family val="0"/>
      <charset val="1"/>
    </font>
    <font>
      <sz val="10"/>
      <color rgb="FF008000"/>
      <name val="Calibri"/>
      <family val="0"/>
      <charset val="1"/>
    </font>
    <font>
      <i val="true"/>
      <sz val="9.5"/>
      <name val="Calibri"/>
      <family val="0"/>
      <charset val="1"/>
    </font>
    <font>
      <i val="true"/>
      <sz val="9"/>
      <color rgb="FF000000"/>
      <name val="Calibri"/>
      <family val="0"/>
      <charset val="1"/>
    </font>
    <font>
      <b val="true"/>
      <sz val="11"/>
      <color rgb="FF000000"/>
      <name val="Calibri"/>
      <family val="0"/>
      <charset val="1"/>
    </font>
    <font>
      <b val="true"/>
      <i val="true"/>
      <sz val="10"/>
      <name val="Calibri"/>
      <family val="0"/>
      <charset val="1"/>
    </font>
    <font>
      <i val="true"/>
      <sz val="9"/>
      <name val="Calibri"/>
      <family val="0"/>
      <charset val="1"/>
    </font>
  </fonts>
  <fills count="3">
    <fill>
      <patternFill patternType="none"/>
    </fill>
    <fill>
      <patternFill patternType="gray125"/>
    </fill>
    <fill>
      <patternFill patternType="solid">
        <fgColor rgb="FFF2F2F2"/>
        <bgColor rgb="FFFFFFCC"/>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left"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left" vertical="bottom"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left" vertical="bottom" textRotation="0" wrapText="false" indent="0" shrinkToFit="false"/>
      <protection locked="true" hidden="false"/>
    </xf>
    <xf numFmtId="165" fontId="13" fillId="0" borderId="1" xfId="0" applyFont="true" applyBorder="true" applyAlignment="false" applyProtection="false">
      <alignment horizontal="general" vertical="bottom" textRotation="0" wrapText="false" indent="0" shrinkToFit="false"/>
      <protection locked="true" hidden="false"/>
    </xf>
    <xf numFmtId="164" fontId="14" fillId="0" borderId="1" xfId="0" applyFont="true" applyBorder="true" applyAlignment="true" applyProtection="false">
      <alignment horizontal="left" vertical="bottom" textRotation="0" wrapText="false" indent="0" shrinkToFit="false"/>
      <protection locked="true" hidden="false"/>
    </xf>
    <xf numFmtId="166" fontId="13"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left"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7" fontId="13" fillId="0" borderId="1" xfId="0" applyFont="true" applyBorder="true" applyAlignment="false" applyProtection="false">
      <alignment horizontal="general" vertical="bottom" textRotation="0" wrapText="false" indent="0" shrinkToFit="false"/>
      <protection locked="true" hidden="false"/>
    </xf>
    <xf numFmtId="168" fontId="13" fillId="0" borderId="1" xfId="0" applyFont="true" applyBorder="true" applyAlignment="false" applyProtection="false">
      <alignment horizontal="general" vertical="bottom" textRotation="0" wrapText="false" indent="0" shrinkToFit="false"/>
      <protection locked="true" hidden="false"/>
    </xf>
    <xf numFmtId="169" fontId="13"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center" vertical="bottom" textRotation="0" wrapText="false" indent="0" shrinkToFit="false"/>
      <protection locked="true" hidden="false"/>
    </xf>
    <xf numFmtId="165" fontId="12" fillId="0" borderId="1" xfId="0" applyFont="true" applyBorder="true" applyAlignment="false" applyProtection="false">
      <alignment horizontal="general" vertical="bottom" textRotation="0" wrapText="false" indent="0" shrinkToFit="false"/>
      <protection locked="true" hidden="false"/>
    </xf>
    <xf numFmtId="165" fontId="15" fillId="0" borderId="1" xfId="0" applyFont="true" applyBorder="tru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left" vertical="bottom" textRotation="0" wrapText="false" indent="0" shrinkToFit="false"/>
      <protection locked="true" hidden="false"/>
    </xf>
    <xf numFmtId="165" fontId="9" fillId="2" borderId="1" xfId="0" applyFont="true" applyBorder="true" applyAlignment="false" applyProtection="false">
      <alignment horizontal="general" vertical="bottom" textRotation="0" wrapText="false" indent="0" shrinkToFit="false"/>
      <protection locked="true" hidden="false"/>
    </xf>
    <xf numFmtId="167" fontId="12" fillId="0" borderId="0" xfId="0" applyFont="true" applyBorder="false" applyAlignment="false" applyProtection="false">
      <alignment horizontal="general" vertical="bottom" textRotation="0" wrapText="false" indent="0" shrinkToFit="false"/>
      <protection locked="true" hidden="false"/>
    </xf>
    <xf numFmtId="167" fontId="9" fillId="0" borderId="1" xfId="0" applyFont="true" applyBorder="true" applyAlignment="false" applyProtection="false">
      <alignment horizontal="general" vertical="bottom" textRotation="0" wrapText="false" indent="0" shrinkToFit="false"/>
      <protection locked="true" hidden="false"/>
    </xf>
    <xf numFmtId="166" fontId="15" fillId="0"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left" vertical="bottom" textRotation="0" wrapText="false" indent="0" shrinkToFit="false"/>
      <protection locked="true" hidden="false"/>
    </xf>
    <xf numFmtId="170" fontId="12" fillId="0" borderId="0" xfId="0" applyFont="true" applyBorder="false" applyAlignment="false" applyProtection="false">
      <alignment horizontal="general" vertical="bottom" textRotation="0" wrapText="false" indent="0" shrinkToFit="false"/>
      <protection locked="true" hidden="false"/>
    </xf>
    <xf numFmtId="167" fontId="12" fillId="0" borderId="1" xfId="0" applyFont="true" applyBorder="true" applyAlignment="false" applyProtection="false">
      <alignment horizontal="general" vertical="bottom" textRotation="0" wrapText="false" indent="0" shrinkToFit="false"/>
      <protection locked="true" hidden="false"/>
    </xf>
    <xf numFmtId="164" fontId="16" fillId="0" borderId="0" xfId="0" applyFont="true" applyBorder="true" applyAlignment="true" applyProtection="false">
      <alignment horizontal="general" vertical="top" textRotation="0" wrapText="true" indent="0" shrinkToFit="false"/>
      <protection locked="true" hidden="false"/>
    </xf>
    <xf numFmtId="167" fontId="15" fillId="0" borderId="1" xfId="0" applyFont="true" applyBorder="true" applyAlignment="false" applyProtection="false">
      <alignment horizontal="general" vertical="bottom" textRotation="0" wrapText="false" indent="0" shrinkToFit="false"/>
      <protection locked="true" hidden="false"/>
    </xf>
    <xf numFmtId="171" fontId="12" fillId="0" borderId="1" xfId="0" applyFont="true" applyBorder="true" applyAlignment="false" applyProtection="false">
      <alignment horizontal="general" vertical="bottom" textRotation="0" wrapText="false" indent="0" shrinkToFit="false"/>
      <protection locked="true" hidden="false"/>
    </xf>
    <xf numFmtId="166" fontId="12" fillId="0" borderId="1" xfId="0" applyFont="true" applyBorder="true" applyAlignment="false" applyProtection="false">
      <alignment horizontal="general" vertical="bottom" textRotation="0" wrapText="false" indent="0" shrinkToFit="false"/>
      <protection locked="true" hidden="false"/>
    </xf>
    <xf numFmtId="169" fontId="9"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70" fontId="12"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15" fillId="0" borderId="0" xfId="0" applyFont="true" applyBorder="false" applyAlignment="false" applyProtection="false">
      <alignment horizontal="general" vertical="bottom" textRotation="0" wrapText="false" indent="0" shrinkToFit="false"/>
      <protection locked="true" hidden="false"/>
    </xf>
    <xf numFmtId="172" fontId="9" fillId="2" borderId="1" xfId="0" applyFont="true" applyBorder="true" applyAlignment="false" applyProtection="false">
      <alignment horizontal="general" vertical="bottom" textRotation="0" wrapText="false" indent="0" shrinkToFit="false"/>
      <protection locked="true" hidden="false"/>
    </xf>
    <xf numFmtId="172" fontId="9" fillId="0" borderId="1" xfId="0" applyFont="true" applyBorder="true" applyAlignment="false" applyProtection="false">
      <alignment horizontal="general" vertical="bottom" textRotation="0" wrapText="false" indent="0" shrinkToFit="false"/>
      <protection locked="true" hidden="false"/>
    </xf>
    <xf numFmtId="172" fontId="12" fillId="0" borderId="1" xfId="0" applyFont="true" applyBorder="tru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left" vertical="bottom" textRotation="0" wrapText="false" indent="0" shrinkToFit="false"/>
      <protection locked="true" hidden="false"/>
    </xf>
    <xf numFmtId="167" fontId="18" fillId="0" borderId="1" xfId="0" applyFont="true" applyBorder="true" applyAlignment="true" applyProtection="false">
      <alignment horizontal="center" vertical="bottom" textRotation="0" wrapText="false" indent="0" shrinkToFit="false"/>
      <protection locked="true" hidden="false"/>
    </xf>
    <xf numFmtId="165" fontId="19" fillId="0" borderId="1" xfId="0" applyFont="true" applyBorder="true" applyAlignment="false" applyProtection="false">
      <alignment horizontal="general" vertical="bottom" textRotation="0" wrapText="false" indent="0" shrinkToFit="false"/>
      <protection locked="true" hidden="false"/>
    </xf>
    <xf numFmtId="164" fontId="20" fillId="0" borderId="0" xfId="0" applyFont="true" applyBorder="true" applyAlignment="false" applyProtection="false">
      <alignment horizontal="general" vertical="bottom" textRotation="0" wrapText="false" indent="0" shrinkToFit="false"/>
      <protection locked="true" hidden="false"/>
    </xf>
    <xf numFmtId="168" fontId="15" fillId="0" borderId="1" xfId="0" applyFont="true" applyBorder="true" applyAlignment="false" applyProtection="false">
      <alignment horizontal="general" vertical="bottom" textRotation="0" wrapText="false" indent="0" shrinkToFit="false"/>
      <protection locked="true" hidden="false"/>
    </xf>
    <xf numFmtId="169" fontId="15" fillId="0" borderId="1" xfId="0" applyFont="true" applyBorder="true" applyAlignment="false" applyProtection="false">
      <alignment horizontal="general" vertical="bottom" textRotation="0" wrapText="false" indent="0" shrinkToFit="false"/>
      <protection locked="true" hidden="false"/>
    </xf>
    <xf numFmtId="168" fontId="12" fillId="0" borderId="1" xfId="0" applyFont="true" applyBorder="true" applyAlignment="false" applyProtection="false">
      <alignment horizontal="general" vertical="bottom" textRotation="0" wrapText="false" indent="0" shrinkToFit="false"/>
      <protection locked="true" hidden="false"/>
    </xf>
    <xf numFmtId="168" fontId="9" fillId="0" borderId="1" xfId="0" applyFont="true" applyBorder="true" applyAlignment="false" applyProtection="false">
      <alignment horizontal="general" vertical="bottom" textRotation="0" wrapText="false" indent="0" shrinkToFit="false"/>
      <protection locked="true" hidden="false"/>
    </xf>
    <xf numFmtId="168" fontId="9" fillId="2" borderId="1" xfId="0" applyFont="true" applyBorder="true" applyAlignment="false" applyProtection="false">
      <alignment horizontal="general" vertical="bottom" textRotation="0" wrapText="false" indent="0" shrinkToFit="false"/>
      <protection locked="true" hidden="false"/>
    </xf>
    <xf numFmtId="170" fontId="9" fillId="0" borderId="1" xfId="0" applyFont="true" applyBorder="tru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66" fontId="9" fillId="2" borderId="1" xfId="0" applyFont="true" applyBorder="true" applyAlignment="false" applyProtection="false">
      <alignment horizontal="general" vertical="bottom" textRotation="0" wrapText="false" indent="0" shrinkToFit="false"/>
      <protection locked="true" hidden="false"/>
    </xf>
    <xf numFmtId="167" fontId="9" fillId="2"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7" min="3" style="0" width="16"/>
    <col collapsed="false" customWidth="true" hidden="false" outlineLevel="0" max="8" min="8" style="0" width="3"/>
  </cols>
  <sheetData>
    <row r="2" customFormat="false" ht="21.75" hidden="false" customHeight="true" outlineLevel="0" collapsed="false">
      <c r="B2" s="1" t="s">
        <v>0</v>
      </c>
      <c r="C2" s="1"/>
      <c r="D2" s="1"/>
      <c r="E2" s="1"/>
      <c r="F2" s="1"/>
      <c r="G2" s="1"/>
    </row>
    <row r="4" customFormat="false" ht="15" hidden="false" customHeight="false" outlineLevel="0" collapsed="false">
      <c r="B4" s="2" t="s">
        <v>1</v>
      </c>
    </row>
    <row r="5" customFormat="false" ht="15" hidden="false" customHeight="false" outlineLevel="0" collapsed="false">
      <c r="B5" s="3" t="s">
        <v>2</v>
      </c>
    </row>
    <row r="6" customFormat="false" ht="15" hidden="false" customHeight="false" outlineLevel="0" collapsed="false">
      <c r="B6" s="3" t="s">
        <v>3</v>
      </c>
    </row>
    <row r="8" customFormat="false" ht="18" hidden="false" customHeight="true" outlineLevel="0" collapsed="false">
      <c r="B8" s="4" t="s">
        <v>4</v>
      </c>
    </row>
    <row r="9" customFormat="false" ht="15" hidden="false" customHeight="true" outlineLevel="0" collapsed="false">
      <c r="B9" s="5" t="s">
        <v>5</v>
      </c>
      <c r="C9" s="5"/>
      <c r="D9" s="5"/>
      <c r="E9" s="5"/>
      <c r="F9" s="5"/>
      <c r="G9" s="5"/>
    </row>
    <row r="10" customFormat="false" ht="15" hidden="false" customHeight="false" outlineLevel="0" collapsed="false">
      <c r="B10" s="5"/>
      <c r="C10" s="5"/>
      <c r="D10" s="5"/>
      <c r="E10" s="5"/>
      <c r="F10" s="5"/>
      <c r="G10" s="5"/>
    </row>
    <row r="11" customFormat="false" ht="15" hidden="false" customHeight="false" outlineLevel="0" collapsed="false">
      <c r="B11" s="5"/>
      <c r="C11" s="5"/>
      <c r="D11" s="5"/>
      <c r="E11" s="5"/>
      <c r="F11" s="5"/>
      <c r="G11" s="5"/>
    </row>
    <row r="12" customFormat="false" ht="15" hidden="false" customHeight="false" outlineLevel="0" collapsed="false">
      <c r="B12" s="5"/>
      <c r="C12" s="5"/>
      <c r="D12" s="5"/>
      <c r="E12" s="5"/>
      <c r="F12" s="5"/>
      <c r="G12" s="5"/>
    </row>
    <row r="14" customFormat="false" ht="18" hidden="false" customHeight="true" outlineLevel="0" collapsed="false">
      <c r="B14" s="4" t="s">
        <v>6</v>
      </c>
    </row>
    <row r="15" customFormat="false" ht="39.75" hidden="false" customHeight="true" outlineLevel="0" collapsed="false">
      <c r="B15" s="6" t="s">
        <v>7</v>
      </c>
      <c r="C15" s="7" t="s">
        <v>8</v>
      </c>
      <c r="D15" s="7"/>
      <c r="E15" s="7"/>
      <c r="F15" s="7"/>
      <c r="G15" s="7"/>
    </row>
    <row r="16" customFormat="false" ht="39.75" hidden="false" customHeight="true" outlineLevel="0" collapsed="false">
      <c r="B16" s="6" t="s">
        <v>9</v>
      </c>
      <c r="C16" s="7" t="s">
        <v>10</v>
      </c>
      <c r="D16" s="7"/>
      <c r="E16" s="7"/>
      <c r="F16" s="7"/>
      <c r="G16" s="7"/>
    </row>
    <row r="17" customFormat="false" ht="39.75" hidden="false" customHeight="true" outlineLevel="0" collapsed="false">
      <c r="B17" s="6" t="s">
        <v>11</v>
      </c>
      <c r="C17" s="7" t="s">
        <v>12</v>
      </c>
      <c r="D17" s="7"/>
      <c r="E17" s="7"/>
      <c r="F17" s="7"/>
      <c r="G17" s="7"/>
    </row>
    <row r="18" customFormat="false" ht="39.75" hidden="false" customHeight="true" outlineLevel="0" collapsed="false">
      <c r="B18" s="6" t="s">
        <v>13</v>
      </c>
      <c r="C18" s="7" t="s">
        <v>14</v>
      </c>
      <c r="D18" s="7"/>
      <c r="E18" s="7"/>
      <c r="F18" s="7"/>
      <c r="G18" s="7"/>
    </row>
    <row r="19" customFormat="false" ht="39.75" hidden="false" customHeight="true" outlineLevel="0" collapsed="false">
      <c r="B19" s="6" t="s">
        <v>15</v>
      </c>
      <c r="C19" s="7" t="s">
        <v>16</v>
      </c>
      <c r="D19" s="7"/>
      <c r="E19" s="7"/>
      <c r="F19" s="7"/>
      <c r="G19" s="7"/>
    </row>
    <row r="20" customFormat="false" ht="39.75" hidden="false" customHeight="true" outlineLevel="0" collapsed="false">
      <c r="B20" s="6" t="s">
        <v>17</v>
      </c>
      <c r="C20" s="7" t="s">
        <v>18</v>
      </c>
      <c r="D20" s="7"/>
      <c r="E20" s="7"/>
      <c r="F20" s="7"/>
      <c r="G20" s="7"/>
    </row>
    <row r="21" customFormat="false" ht="39.75" hidden="false" customHeight="true" outlineLevel="0" collapsed="false">
      <c r="B21" s="6" t="s">
        <v>19</v>
      </c>
      <c r="C21" s="7" t="s">
        <v>20</v>
      </c>
      <c r="D21" s="7"/>
      <c r="E21" s="7"/>
      <c r="F21" s="7"/>
      <c r="G21" s="7"/>
    </row>
    <row r="22" customFormat="false" ht="39.75" hidden="false" customHeight="true" outlineLevel="0" collapsed="false">
      <c r="B22" s="6" t="s">
        <v>21</v>
      </c>
      <c r="C22" s="7" t="s">
        <v>22</v>
      </c>
      <c r="D22" s="7"/>
      <c r="E22" s="7"/>
      <c r="F22" s="7"/>
      <c r="G22" s="7"/>
    </row>
    <row r="24" customFormat="false" ht="18" hidden="false" customHeight="true" outlineLevel="0" collapsed="false">
      <c r="B24" s="4" t="s">
        <v>23</v>
      </c>
    </row>
    <row r="25" customFormat="false" ht="15" hidden="false" customHeight="false" outlineLevel="0" collapsed="false">
      <c r="B25" s="8" t="s">
        <v>24</v>
      </c>
      <c r="C25" s="9" t="s">
        <v>25</v>
      </c>
      <c r="D25" s="9"/>
      <c r="E25" s="9"/>
      <c r="F25" s="9"/>
      <c r="G25" s="9"/>
    </row>
    <row r="26" customFormat="false" ht="15" hidden="false" customHeight="false" outlineLevel="0" collapsed="false">
      <c r="B26" s="8" t="s">
        <v>26</v>
      </c>
      <c r="C26" s="9" t="s">
        <v>27</v>
      </c>
      <c r="D26" s="9"/>
      <c r="E26" s="9"/>
      <c r="F26" s="9"/>
      <c r="G26" s="9"/>
    </row>
    <row r="27" customFormat="false" ht="15" hidden="false" customHeight="false" outlineLevel="0" collapsed="false">
      <c r="B27" s="8" t="s">
        <v>28</v>
      </c>
      <c r="C27" s="9" t="s">
        <v>29</v>
      </c>
      <c r="D27" s="9"/>
      <c r="E27" s="9"/>
      <c r="F27" s="9"/>
      <c r="G27" s="9"/>
    </row>
    <row r="28" customFormat="false" ht="15" hidden="false" customHeight="false" outlineLevel="0" collapsed="false">
      <c r="B28" s="8" t="s">
        <v>30</v>
      </c>
      <c r="C28" s="9" t="s">
        <v>31</v>
      </c>
      <c r="D28" s="9"/>
      <c r="E28" s="9"/>
      <c r="F28" s="9"/>
      <c r="G28" s="9"/>
    </row>
  </sheetData>
  <mergeCells count="14">
    <mergeCell ref="B2:G2"/>
    <mergeCell ref="B9:G12"/>
    <mergeCell ref="C15:G15"/>
    <mergeCell ref="C16:G16"/>
    <mergeCell ref="C17:G17"/>
    <mergeCell ref="C18:G18"/>
    <mergeCell ref="C19:G19"/>
    <mergeCell ref="C20:G20"/>
    <mergeCell ref="C21:G21"/>
    <mergeCell ref="C22:G22"/>
    <mergeCell ref="C25:G25"/>
    <mergeCell ref="C26:G26"/>
    <mergeCell ref="C27:G27"/>
    <mergeCell ref="C28:G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8"/>
    <col collapsed="false" customWidth="true" hidden="false" outlineLevel="0" max="4" min="3" style="0" width="18"/>
    <col collapsed="false" customWidth="true" hidden="false" outlineLevel="0" max="5" min="5" style="0" width="40"/>
  </cols>
  <sheetData>
    <row r="2" customFormat="false" ht="21.75" hidden="false" customHeight="true" outlineLevel="0" collapsed="false">
      <c r="B2" s="1" t="s">
        <v>32</v>
      </c>
      <c r="C2" s="1"/>
      <c r="D2" s="1"/>
      <c r="E2" s="1"/>
    </row>
    <row r="3" customFormat="false" ht="15" hidden="false" customHeight="false" outlineLevel="0" collapsed="false">
      <c r="B3" s="3" t="s">
        <v>33</v>
      </c>
    </row>
    <row r="5" customFormat="false" ht="27.75" hidden="false" customHeight="true" outlineLevel="0" collapsed="false">
      <c r="B5" s="10" t="s">
        <v>34</v>
      </c>
      <c r="C5" s="10" t="s">
        <v>35</v>
      </c>
      <c r="D5" s="10" t="s">
        <v>36</v>
      </c>
      <c r="E5" s="10" t="s">
        <v>37</v>
      </c>
    </row>
    <row r="6" customFormat="false" ht="18" hidden="false" customHeight="true" outlineLevel="0" collapsed="false">
      <c r="B6" s="11" t="s">
        <v>38</v>
      </c>
      <c r="C6" s="12"/>
      <c r="D6" s="12"/>
      <c r="E6" s="12"/>
    </row>
    <row r="7" customFormat="false" ht="15" hidden="false" customHeight="false" outlineLevel="0" collapsed="false">
      <c r="B7" s="13" t="s">
        <v>39</v>
      </c>
      <c r="C7" s="14" t="n">
        <v>42000000</v>
      </c>
      <c r="D7" s="13" t="s">
        <v>40</v>
      </c>
      <c r="E7" s="15" t="s">
        <v>41</v>
      </c>
    </row>
    <row r="8" customFormat="false" ht="15" hidden="false" customHeight="false" outlineLevel="0" collapsed="false">
      <c r="B8" s="13" t="s">
        <v>42</v>
      </c>
      <c r="C8" s="14" t="n">
        <v>5000000</v>
      </c>
      <c r="D8" s="13" t="s">
        <v>40</v>
      </c>
      <c r="E8" s="15" t="s">
        <v>43</v>
      </c>
    </row>
    <row r="9" customFormat="false" ht="15" hidden="false" customHeight="false" outlineLevel="0" collapsed="false">
      <c r="B9" s="13" t="s">
        <v>44</v>
      </c>
      <c r="C9" s="16" t="n">
        <v>10</v>
      </c>
      <c r="D9" s="13" t="s">
        <v>45</v>
      </c>
      <c r="E9" s="15" t="s">
        <v>45</v>
      </c>
    </row>
    <row r="10" customFormat="false" ht="15" hidden="false" customHeight="false" outlineLevel="0" collapsed="false">
      <c r="B10" s="13" t="s">
        <v>46</v>
      </c>
      <c r="C10" s="14" t="n">
        <v>5000000</v>
      </c>
      <c r="D10" s="13" t="s">
        <v>40</v>
      </c>
      <c r="E10" s="15" t="s">
        <v>47</v>
      </c>
    </row>
    <row r="11" customFormat="false" ht="15" hidden="false" customHeight="false" outlineLevel="0" collapsed="false">
      <c r="B11" s="12"/>
      <c r="C11" s="12"/>
      <c r="D11" s="12"/>
      <c r="E11" s="12"/>
    </row>
    <row r="12" customFormat="false" ht="15" hidden="false" customHeight="false" outlineLevel="0" collapsed="false">
      <c r="B12" s="17" t="s">
        <v>48</v>
      </c>
      <c r="C12" s="18" t="n">
        <f aca="false">C7+C8</f>
        <v>47000000</v>
      </c>
      <c r="D12" s="12"/>
      <c r="E12" s="12"/>
    </row>
    <row r="13" customFormat="false" ht="15" hidden="false" customHeight="false" outlineLevel="0" collapsed="false">
      <c r="B13" s="12"/>
      <c r="C13" s="12"/>
      <c r="D13" s="12"/>
      <c r="E13" s="12"/>
    </row>
    <row r="14" customFormat="false" ht="18" hidden="false" customHeight="true" outlineLevel="0" collapsed="false">
      <c r="B14" s="11" t="s">
        <v>49</v>
      </c>
      <c r="C14" s="12"/>
      <c r="D14" s="12"/>
      <c r="E14" s="12"/>
    </row>
    <row r="15" customFormat="false" ht="15" hidden="false" customHeight="false" outlineLevel="0" collapsed="false">
      <c r="B15" s="13" t="s">
        <v>50</v>
      </c>
      <c r="C15" s="14" t="n">
        <v>32000000</v>
      </c>
      <c r="D15" s="13" t="s">
        <v>40</v>
      </c>
      <c r="E15" s="15" t="s">
        <v>51</v>
      </c>
    </row>
    <row r="16" customFormat="false" ht="15" hidden="false" customHeight="false" outlineLevel="0" collapsed="false">
      <c r="B16" s="13" t="s">
        <v>52</v>
      </c>
      <c r="C16" s="19" t="n">
        <v>0.06</v>
      </c>
      <c r="D16" s="13" t="s">
        <v>53</v>
      </c>
      <c r="E16" s="15" t="s">
        <v>54</v>
      </c>
    </row>
    <row r="17" customFormat="false" ht="15" hidden="false" customHeight="false" outlineLevel="0" collapsed="false">
      <c r="B17" s="13" t="s">
        <v>55</v>
      </c>
      <c r="C17" s="19" t="n">
        <v>0.66</v>
      </c>
      <c r="D17" s="13" t="s">
        <v>53</v>
      </c>
      <c r="E17" s="15" t="s">
        <v>56</v>
      </c>
    </row>
    <row r="18" customFormat="false" ht="15" hidden="false" customHeight="false" outlineLevel="0" collapsed="false">
      <c r="B18" s="13" t="s">
        <v>57</v>
      </c>
      <c r="C18" s="16" t="n">
        <v>10</v>
      </c>
      <c r="D18" s="13" t="s">
        <v>45</v>
      </c>
      <c r="E18" s="15" t="s">
        <v>58</v>
      </c>
    </row>
    <row r="19" customFormat="false" ht="15" hidden="false" customHeight="false" outlineLevel="0" collapsed="false">
      <c r="B19" s="13" t="s">
        <v>59</v>
      </c>
      <c r="C19" s="19" t="n">
        <v>0.25</v>
      </c>
      <c r="D19" s="13" t="s">
        <v>53</v>
      </c>
      <c r="E19" s="15" t="s">
        <v>60</v>
      </c>
    </row>
    <row r="20" customFormat="false" ht="15" hidden="false" customHeight="false" outlineLevel="0" collapsed="false">
      <c r="B20" s="13" t="s">
        <v>61</v>
      </c>
      <c r="C20" s="19" t="n">
        <v>0.09</v>
      </c>
      <c r="D20" s="13" t="s">
        <v>53</v>
      </c>
      <c r="E20" s="15" t="s">
        <v>62</v>
      </c>
    </row>
    <row r="21" customFormat="false" ht="15" hidden="false" customHeight="false" outlineLevel="0" collapsed="false">
      <c r="B21" s="12"/>
      <c r="C21" s="12"/>
      <c r="D21" s="12"/>
      <c r="E21" s="12"/>
    </row>
    <row r="22" customFormat="false" ht="18" hidden="false" customHeight="true" outlineLevel="0" collapsed="false">
      <c r="B22" s="11" t="s">
        <v>63</v>
      </c>
      <c r="C22" s="12"/>
      <c r="D22" s="12"/>
      <c r="E22" s="12"/>
    </row>
    <row r="23" customFormat="false" ht="15" hidden="false" customHeight="false" outlineLevel="0" collapsed="false">
      <c r="B23" s="13" t="s">
        <v>64</v>
      </c>
      <c r="C23" s="20" t="n">
        <v>850</v>
      </c>
      <c r="D23" s="13"/>
      <c r="E23" s="15" t="s">
        <v>65</v>
      </c>
    </row>
    <row r="24" customFormat="false" ht="15" hidden="false" customHeight="false" outlineLevel="0" collapsed="false">
      <c r="B24" s="13" t="s">
        <v>66</v>
      </c>
      <c r="C24" s="21" t="n">
        <v>2.4</v>
      </c>
      <c r="D24" s="13"/>
      <c r="E24" s="15" t="s">
        <v>67</v>
      </c>
    </row>
    <row r="25" customFormat="false" ht="15" hidden="false" customHeight="false" outlineLevel="0" collapsed="false">
      <c r="B25" s="13" t="s">
        <v>68</v>
      </c>
      <c r="C25" s="19" t="n">
        <v>0.72</v>
      </c>
      <c r="D25" s="13"/>
      <c r="E25" s="15" t="s">
        <v>69</v>
      </c>
    </row>
    <row r="26" customFormat="false" ht="15" hidden="false" customHeight="false" outlineLevel="0" collapsed="false">
      <c r="B26" s="13" t="s">
        <v>70</v>
      </c>
      <c r="C26" s="19" t="n">
        <v>0.34</v>
      </c>
      <c r="D26" s="13"/>
      <c r="E26" s="15" t="s">
        <v>71</v>
      </c>
    </row>
    <row r="27" customFormat="false" ht="15" hidden="false" customHeight="false" outlineLevel="0" collapsed="false">
      <c r="B27" s="13" t="s">
        <v>72</v>
      </c>
      <c r="C27" s="20" t="n">
        <v>140</v>
      </c>
      <c r="D27" s="13"/>
      <c r="E27" s="15" t="s">
        <v>73</v>
      </c>
    </row>
    <row r="28" customFormat="false" ht="15" hidden="false" customHeight="false" outlineLevel="0" collapsed="false">
      <c r="B28" s="12"/>
      <c r="C28" s="12"/>
      <c r="D28" s="12"/>
      <c r="E28" s="12"/>
    </row>
    <row r="29" customFormat="false" ht="18" hidden="false" customHeight="true" outlineLevel="0" collapsed="false">
      <c r="B29" s="11" t="s">
        <v>74</v>
      </c>
      <c r="C29" s="12"/>
      <c r="D29" s="12"/>
      <c r="E29" s="12"/>
    </row>
    <row r="30" customFormat="false" ht="15" hidden="false" customHeight="false" outlineLevel="0" collapsed="false">
      <c r="B30" s="13" t="s">
        <v>75</v>
      </c>
      <c r="C30" s="14" t="n">
        <v>21000000</v>
      </c>
      <c r="D30" s="13"/>
      <c r="E30" s="15" t="s">
        <v>76</v>
      </c>
    </row>
    <row r="31" customFormat="false" ht="15" hidden="false" customHeight="false" outlineLevel="0" collapsed="false">
      <c r="B31" s="13" t="s">
        <v>77</v>
      </c>
      <c r="C31" s="20" t="n">
        <v>310</v>
      </c>
      <c r="D31" s="13"/>
      <c r="E31" s="15" t="s">
        <v>78</v>
      </c>
    </row>
    <row r="32" customFormat="false" ht="15" hidden="false" customHeight="false" outlineLevel="0" collapsed="false">
      <c r="B32" s="13" t="s">
        <v>79</v>
      </c>
      <c r="C32" s="20" t="n">
        <v>850</v>
      </c>
      <c r="D32" s="13"/>
      <c r="E32" s="15" t="s">
        <v>80</v>
      </c>
    </row>
    <row r="33" customFormat="false" ht="15" hidden="false" customHeight="false" outlineLevel="0" collapsed="false">
      <c r="B33" s="13" t="s">
        <v>81</v>
      </c>
      <c r="C33" s="16" t="n">
        <v>296</v>
      </c>
      <c r="D33" s="13"/>
      <c r="E33" s="15" t="s">
        <v>82</v>
      </c>
    </row>
    <row r="34" customFormat="false" ht="15" hidden="false" customHeight="false" outlineLevel="0" collapsed="false">
      <c r="B34" s="13" t="s">
        <v>83</v>
      </c>
      <c r="C34" s="16" t="n">
        <v>365</v>
      </c>
      <c r="D34" s="13"/>
      <c r="E34" s="15" t="s">
        <v>84</v>
      </c>
    </row>
  </sheetData>
  <mergeCells count="1">
    <mergeCell ref="B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M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13" min="3" style="0" width="13"/>
  </cols>
  <sheetData>
    <row r="2" customFormat="false" ht="21.75" hidden="false" customHeight="true" outlineLevel="0" collapsed="false">
      <c r="B2" s="1" t="s">
        <v>85</v>
      </c>
      <c r="C2" s="1"/>
      <c r="D2" s="1"/>
      <c r="E2" s="1"/>
      <c r="F2" s="1"/>
      <c r="G2" s="1"/>
      <c r="H2" s="1"/>
      <c r="I2" s="1"/>
      <c r="J2" s="1"/>
      <c r="K2" s="1"/>
      <c r="L2" s="1"/>
      <c r="M2" s="1"/>
    </row>
    <row r="3" customFormat="false" ht="15" hidden="false" customHeight="false" outlineLevel="0" collapsed="false">
      <c r="B3" s="3" t="s">
        <v>86</v>
      </c>
    </row>
    <row r="5" customFormat="false" ht="18" hidden="false" customHeight="true" outlineLevel="0" collapsed="false">
      <c r="B5" s="17" t="s">
        <v>87</v>
      </c>
      <c r="C5" s="22" t="s">
        <v>88</v>
      </c>
      <c r="D5" s="22" t="s">
        <v>89</v>
      </c>
      <c r="E5" s="22" t="s">
        <v>90</v>
      </c>
      <c r="F5" s="22" t="s">
        <v>91</v>
      </c>
      <c r="G5" s="22" t="s">
        <v>92</v>
      </c>
      <c r="H5" s="22" t="s">
        <v>93</v>
      </c>
      <c r="I5" s="22" t="s">
        <v>94</v>
      </c>
      <c r="J5" s="22" t="s">
        <v>95</v>
      </c>
      <c r="K5" s="22" t="s">
        <v>96</v>
      </c>
      <c r="L5" s="22" t="s">
        <v>97</v>
      </c>
      <c r="M5" s="22" t="s">
        <v>98</v>
      </c>
    </row>
    <row r="6" customFormat="false" ht="15" hidden="false" customHeight="false" outlineLevel="0" collapsed="false">
      <c r="B6" s="13" t="s">
        <v>99</v>
      </c>
      <c r="C6" s="23" t="n">
        <v>0</v>
      </c>
      <c r="D6" s="24" t="n">
        <f aca="false">Assumptions!$C$15</f>
        <v>32000000</v>
      </c>
      <c r="E6" s="23" t="n">
        <f aca="false">D6*(1+Assumptions!$C$16)</f>
        <v>33920000</v>
      </c>
      <c r="F6" s="23" t="n">
        <f aca="false">E6*(1+Assumptions!$C$16)</f>
        <v>35955200</v>
      </c>
      <c r="G6" s="23" t="n">
        <f aca="false">F6*(1+Assumptions!$C$16)</f>
        <v>38112512</v>
      </c>
      <c r="H6" s="23" t="n">
        <f aca="false">G6*(1+Assumptions!$C$16)</f>
        <v>40399262.72</v>
      </c>
      <c r="I6" s="23" t="n">
        <f aca="false">H6*(1+Assumptions!$C$16)</f>
        <v>42823218.4832</v>
      </c>
      <c r="J6" s="23" t="n">
        <f aca="false">I6*(1+Assumptions!$C$16)</f>
        <v>45392611.592192</v>
      </c>
      <c r="K6" s="23" t="n">
        <f aca="false">J6*(1+Assumptions!$C$16)</f>
        <v>48116168.2877235</v>
      </c>
      <c r="L6" s="23" t="n">
        <f aca="false">K6*(1+Assumptions!$C$16)</f>
        <v>51003138.3849869</v>
      </c>
      <c r="M6" s="23" t="n">
        <f aca="false">L6*(1+Assumptions!$C$16)</f>
        <v>54063326.6880862</v>
      </c>
    </row>
    <row r="7" customFormat="false" ht="15" hidden="false" customHeight="false" outlineLevel="0" collapsed="false">
      <c r="B7" s="13" t="s">
        <v>100</v>
      </c>
      <c r="C7" s="23" t="n">
        <v>0</v>
      </c>
      <c r="D7" s="23" t="n">
        <f aca="false">-D6*Assumptions!$C$17</f>
        <v>-21120000</v>
      </c>
      <c r="E7" s="23" t="n">
        <f aca="false">-E6*Assumptions!$C$17</f>
        <v>-22387200</v>
      </c>
      <c r="F7" s="23" t="n">
        <f aca="false">-F6*Assumptions!$C$17</f>
        <v>-23730432</v>
      </c>
      <c r="G7" s="23" t="n">
        <f aca="false">-G6*Assumptions!$C$17</f>
        <v>-25154257.92</v>
      </c>
      <c r="H7" s="23" t="n">
        <f aca="false">-H6*Assumptions!$C$17</f>
        <v>-26663513.3952</v>
      </c>
      <c r="I7" s="23" t="n">
        <f aca="false">-I6*Assumptions!$C$17</f>
        <v>-28263324.198912</v>
      </c>
      <c r="J7" s="23" t="n">
        <f aca="false">-J6*Assumptions!$C$17</f>
        <v>-29959123.6508467</v>
      </c>
      <c r="K7" s="23" t="n">
        <f aca="false">-K6*Assumptions!$C$17</f>
        <v>-31756671.0698975</v>
      </c>
      <c r="L7" s="23" t="n">
        <f aca="false">-L6*Assumptions!$C$17</f>
        <v>-33662071.3340914</v>
      </c>
      <c r="M7" s="23" t="n">
        <f aca="false">-M6*Assumptions!$C$17</f>
        <v>-35681795.6141369</v>
      </c>
    </row>
    <row r="8" customFormat="false" ht="15" hidden="false" customHeight="false" outlineLevel="0" collapsed="false">
      <c r="B8" s="17" t="s">
        <v>101</v>
      </c>
      <c r="C8" s="18" t="n">
        <f aca="false">C6+C7</f>
        <v>0</v>
      </c>
      <c r="D8" s="18" t="n">
        <f aca="false">D6+D7</f>
        <v>10880000</v>
      </c>
      <c r="E8" s="18" t="n">
        <f aca="false">E6+E7</f>
        <v>11532800</v>
      </c>
      <c r="F8" s="18" t="n">
        <f aca="false">F6+F7</f>
        <v>12224768</v>
      </c>
      <c r="G8" s="18" t="n">
        <f aca="false">G6+G7</f>
        <v>12958254.08</v>
      </c>
      <c r="H8" s="18" t="n">
        <f aca="false">H6+H7</f>
        <v>13735749.3248</v>
      </c>
      <c r="I8" s="18" t="n">
        <f aca="false">I6+I7</f>
        <v>14559894.284288</v>
      </c>
      <c r="J8" s="18" t="n">
        <f aca="false">J6+J7</f>
        <v>15433487.9413453</v>
      </c>
      <c r="K8" s="18" t="n">
        <f aca="false">K6+K7</f>
        <v>16359497.217826</v>
      </c>
      <c r="L8" s="18" t="n">
        <f aca="false">L6+L7</f>
        <v>17341067.0508956</v>
      </c>
      <c r="M8" s="18" t="n">
        <f aca="false">M6+M7</f>
        <v>18381531.0739493</v>
      </c>
    </row>
    <row r="9" customFormat="false" ht="15" hidden="false" customHeight="false" outlineLevel="0" collapsed="false">
      <c r="B9" s="13" t="s">
        <v>102</v>
      </c>
      <c r="C9" s="23" t="n">
        <v>0</v>
      </c>
      <c r="D9" s="23" t="n">
        <f aca="false">-Assumptions!$C$7/Assumptions!$C$18</f>
        <v>-4200000</v>
      </c>
      <c r="E9" s="23" t="n">
        <f aca="false">-Assumptions!$C$7/Assumptions!$C$18</f>
        <v>-4200000</v>
      </c>
      <c r="F9" s="23" t="n">
        <f aca="false">-Assumptions!$C$7/Assumptions!$C$18</f>
        <v>-4200000</v>
      </c>
      <c r="G9" s="23" t="n">
        <f aca="false">-Assumptions!$C$7/Assumptions!$C$18</f>
        <v>-4200000</v>
      </c>
      <c r="H9" s="23" t="n">
        <f aca="false">-Assumptions!$C$7/Assumptions!$C$18</f>
        <v>-4200000</v>
      </c>
      <c r="I9" s="23" t="n">
        <f aca="false">-Assumptions!$C$7/Assumptions!$C$18</f>
        <v>-4200000</v>
      </c>
      <c r="J9" s="23" t="n">
        <f aca="false">-Assumptions!$C$7/Assumptions!$C$18</f>
        <v>-4200000</v>
      </c>
      <c r="K9" s="23" t="n">
        <f aca="false">-Assumptions!$C$7/Assumptions!$C$18</f>
        <v>-4200000</v>
      </c>
      <c r="L9" s="23" t="n">
        <f aca="false">-Assumptions!$C$7/Assumptions!$C$18</f>
        <v>-4200000</v>
      </c>
      <c r="M9" s="23" t="n">
        <f aca="false">-Assumptions!$C$7/Assumptions!$C$18</f>
        <v>-4200000</v>
      </c>
    </row>
    <row r="10" customFormat="false" ht="15" hidden="false" customHeight="false" outlineLevel="0" collapsed="false">
      <c r="B10" s="13" t="s">
        <v>103</v>
      </c>
      <c r="C10" s="23" t="n">
        <f aca="false">C8+C9</f>
        <v>0</v>
      </c>
      <c r="D10" s="23" t="n">
        <f aca="false">D8+D9</f>
        <v>6680000</v>
      </c>
      <c r="E10" s="23" t="n">
        <f aca="false">E8+E9</f>
        <v>7332800</v>
      </c>
      <c r="F10" s="23" t="n">
        <f aca="false">F8+F9</f>
        <v>8024768</v>
      </c>
      <c r="G10" s="23" t="n">
        <f aca="false">G8+G9</f>
        <v>8758254.08</v>
      </c>
      <c r="H10" s="23" t="n">
        <f aca="false">H8+H9</f>
        <v>9535749.3248</v>
      </c>
      <c r="I10" s="23" t="n">
        <f aca="false">I8+I9</f>
        <v>10359894.284288</v>
      </c>
      <c r="J10" s="23" t="n">
        <f aca="false">J8+J9</f>
        <v>11233487.9413453</v>
      </c>
      <c r="K10" s="23" t="n">
        <f aca="false">K8+K9</f>
        <v>12159497.217826</v>
      </c>
      <c r="L10" s="23" t="n">
        <f aca="false">L8+L9</f>
        <v>13141067.0508956</v>
      </c>
      <c r="M10" s="23" t="n">
        <f aca="false">M8+M9</f>
        <v>14181531.0739493</v>
      </c>
    </row>
    <row r="11" customFormat="false" ht="15" hidden="false" customHeight="false" outlineLevel="0" collapsed="false">
      <c r="B11" s="13" t="s">
        <v>104</v>
      </c>
      <c r="C11" s="23" t="n">
        <f aca="false">-MAX(C10,0)*Assumptions!$C$19</f>
        <v>-0</v>
      </c>
      <c r="D11" s="23" t="n">
        <f aca="false">-MAX(D10,0)*Assumptions!$C$19</f>
        <v>-1670000</v>
      </c>
      <c r="E11" s="23" t="n">
        <f aca="false">-MAX(E10,0)*Assumptions!$C$19</f>
        <v>-1833200</v>
      </c>
      <c r="F11" s="23" t="n">
        <f aca="false">-MAX(F10,0)*Assumptions!$C$19</f>
        <v>-2006192</v>
      </c>
      <c r="G11" s="23" t="n">
        <f aca="false">-MAX(G10,0)*Assumptions!$C$19</f>
        <v>-2189563.52</v>
      </c>
      <c r="H11" s="23" t="n">
        <f aca="false">-MAX(H10,0)*Assumptions!$C$19</f>
        <v>-2383937.3312</v>
      </c>
      <c r="I11" s="23" t="n">
        <f aca="false">-MAX(I10,0)*Assumptions!$C$19</f>
        <v>-2589973.571072</v>
      </c>
      <c r="J11" s="23" t="n">
        <f aca="false">-MAX(J10,0)*Assumptions!$C$19</f>
        <v>-2808371.98533632</v>
      </c>
      <c r="K11" s="23" t="n">
        <f aca="false">-MAX(K10,0)*Assumptions!$C$19</f>
        <v>-3039874.3044565</v>
      </c>
      <c r="L11" s="23" t="n">
        <f aca="false">-MAX(L10,0)*Assumptions!$C$19</f>
        <v>-3285266.76272389</v>
      </c>
      <c r="M11" s="23" t="n">
        <f aca="false">-MAX(M10,0)*Assumptions!$C$19</f>
        <v>-3545382.76848732</v>
      </c>
    </row>
    <row r="12" customFormat="false" ht="15" hidden="false" customHeight="false" outlineLevel="0" collapsed="false">
      <c r="B12" s="17" t="s">
        <v>105</v>
      </c>
      <c r="C12" s="18" t="n">
        <f aca="false">C10+C11</f>
        <v>0</v>
      </c>
      <c r="D12" s="18" t="n">
        <f aca="false">D10+D11</f>
        <v>5010000</v>
      </c>
      <c r="E12" s="18" t="n">
        <f aca="false">E10+E11</f>
        <v>5499600</v>
      </c>
      <c r="F12" s="18" t="n">
        <f aca="false">F10+F11</f>
        <v>6018576</v>
      </c>
      <c r="G12" s="18" t="n">
        <f aca="false">G10+G11</f>
        <v>6568690.56</v>
      </c>
      <c r="H12" s="18" t="n">
        <f aca="false">H10+H11</f>
        <v>7151811.9936</v>
      </c>
      <c r="I12" s="18" t="n">
        <f aca="false">I10+I11</f>
        <v>7769920.713216</v>
      </c>
      <c r="J12" s="18" t="n">
        <f aca="false">J10+J11</f>
        <v>8425115.95600896</v>
      </c>
      <c r="K12" s="18" t="n">
        <f aca="false">K10+K11</f>
        <v>9119622.9133695</v>
      </c>
      <c r="L12" s="18" t="n">
        <f aca="false">L10+L11</f>
        <v>9855800.28817167</v>
      </c>
      <c r="M12" s="18" t="n">
        <f aca="false">M10+M11</f>
        <v>10636148.305462</v>
      </c>
    </row>
    <row r="13" customFormat="false" ht="15" hidden="false" customHeight="false" outlineLevel="0" collapsed="false">
      <c r="B13" s="13" t="s">
        <v>106</v>
      </c>
      <c r="C13" s="23" t="n">
        <f aca="false">-C9</f>
        <v>-0</v>
      </c>
      <c r="D13" s="23" t="n">
        <f aca="false">-D9</f>
        <v>4200000</v>
      </c>
      <c r="E13" s="23" t="n">
        <f aca="false">-E9</f>
        <v>4200000</v>
      </c>
      <c r="F13" s="23" t="n">
        <f aca="false">-F9</f>
        <v>4200000</v>
      </c>
      <c r="G13" s="23" t="n">
        <f aca="false">-G9</f>
        <v>4200000</v>
      </c>
      <c r="H13" s="23" t="n">
        <f aca="false">-H9</f>
        <v>4200000</v>
      </c>
      <c r="I13" s="23" t="n">
        <f aca="false">-I9</f>
        <v>4200000</v>
      </c>
      <c r="J13" s="23" t="n">
        <f aca="false">-J9</f>
        <v>4200000</v>
      </c>
      <c r="K13" s="23" t="n">
        <f aca="false">-K9</f>
        <v>4200000</v>
      </c>
      <c r="L13" s="23" t="n">
        <f aca="false">-L9</f>
        <v>4200000</v>
      </c>
      <c r="M13" s="23" t="n">
        <f aca="false">-M9</f>
        <v>4200000</v>
      </c>
    </row>
    <row r="14" customFormat="false" ht="15" hidden="false" customHeight="false" outlineLevel="0" collapsed="false">
      <c r="B14" s="13" t="s">
        <v>107</v>
      </c>
      <c r="C14" s="23" t="n">
        <f aca="false">-Assumptions!$C$7</f>
        <v>-42000000</v>
      </c>
      <c r="D14" s="23" t="n">
        <v>0</v>
      </c>
      <c r="E14" s="23" t="n">
        <v>0</v>
      </c>
      <c r="F14" s="23" t="n">
        <v>0</v>
      </c>
      <c r="G14" s="23" t="n">
        <v>0</v>
      </c>
      <c r="H14" s="23" t="n">
        <v>0</v>
      </c>
      <c r="I14" s="23" t="n">
        <v>0</v>
      </c>
      <c r="J14" s="23" t="n">
        <v>0</v>
      </c>
      <c r="K14" s="23" t="n">
        <v>0</v>
      </c>
      <c r="L14" s="23" t="n">
        <v>0</v>
      </c>
      <c r="M14" s="23" t="n">
        <v>0</v>
      </c>
    </row>
    <row r="15" customFormat="false" ht="15" hidden="false" customHeight="false" outlineLevel="0" collapsed="false">
      <c r="B15" s="13" t="s">
        <v>108</v>
      </c>
      <c r="C15" s="23" t="n">
        <f aca="false">-Assumptions!$C$8</f>
        <v>-5000000</v>
      </c>
      <c r="D15" s="23" t="n">
        <v>0</v>
      </c>
      <c r="E15" s="23" t="n">
        <v>0</v>
      </c>
      <c r="F15" s="23" t="n">
        <v>0</v>
      </c>
      <c r="G15" s="23" t="n">
        <v>0</v>
      </c>
      <c r="H15" s="23" t="n">
        <v>0</v>
      </c>
      <c r="I15" s="23" t="n">
        <v>0</v>
      </c>
      <c r="J15" s="23" t="n">
        <v>0</v>
      </c>
      <c r="K15" s="23" t="n">
        <v>0</v>
      </c>
      <c r="L15" s="23" t="n">
        <v>0</v>
      </c>
      <c r="M15" s="23" t="n">
        <v>0</v>
      </c>
    </row>
    <row r="16" customFormat="false" ht="15" hidden="false" customHeight="false" outlineLevel="0" collapsed="false">
      <c r="B16" s="13" t="s">
        <v>109</v>
      </c>
      <c r="C16" s="23" t="n">
        <v>0</v>
      </c>
      <c r="D16" s="23" t="n">
        <v>0</v>
      </c>
      <c r="E16" s="23" t="n">
        <v>0</v>
      </c>
      <c r="F16" s="23" t="n">
        <v>0</v>
      </c>
      <c r="G16" s="23" t="n">
        <v>0</v>
      </c>
      <c r="H16" s="23" t="n">
        <v>0</v>
      </c>
      <c r="I16" s="23" t="n">
        <v>0</v>
      </c>
      <c r="J16" s="23" t="n">
        <v>0</v>
      </c>
      <c r="K16" s="23" t="n">
        <v>0</v>
      </c>
      <c r="L16" s="23" t="n">
        <v>0</v>
      </c>
      <c r="M16" s="23" t="n">
        <f aca="false">Assumptions!$C$10*(1-Assumptions!$C$19)</f>
        <v>3750000</v>
      </c>
    </row>
    <row r="17" customFormat="false" ht="15" hidden="false" customHeight="false" outlineLevel="0" collapsed="false">
      <c r="B17" s="25" t="s">
        <v>110</v>
      </c>
      <c r="C17" s="26" t="n">
        <f aca="false">C12+C13+C14+C15+C16</f>
        <v>-47000000</v>
      </c>
      <c r="D17" s="26" t="n">
        <f aca="false">D12+D13+D14+D15+D16</f>
        <v>9210000</v>
      </c>
      <c r="E17" s="26" t="n">
        <f aca="false">E12+E13+E14+E15+E16</f>
        <v>9699600</v>
      </c>
      <c r="F17" s="26" t="n">
        <f aca="false">F12+F13+F14+F15+F16</f>
        <v>10218576</v>
      </c>
      <c r="G17" s="26" t="n">
        <f aca="false">G12+G13+G14+G15+G16</f>
        <v>10768690.56</v>
      </c>
      <c r="H17" s="26" t="n">
        <f aca="false">H12+H13+H14+H15+H16</f>
        <v>11351811.9936</v>
      </c>
      <c r="I17" s="26" t="n">
        <f aca="false">I12+I13+I14+I15+I16</f>
        <v>11969920.713216</v>
      </c>
      <c r="J17" s="26" t="n">
        <f aca="false">J12+J13+J14+J15+J16</f>
        <v>12625115.956009</v>
      </c>
      <c r="K17" s="26" t="n">
        <f aca="false">K12+K13+K14+K15+K16</f>
        <v>13319622.9133695</v>
      </c>
      <c r="L17" s="26" t="n">
        <f aca="false">L12+L13+L14+L15+L16</f>
        <v>14055800.2881717</v>
      </c>
      <c r="M17" s="26" t="n">
        <f aca="false">M12+M13+M14+M15+M16</f>
        <v>18586148.305462</v>
      </c>
    </row>
    <row r="18" customFormat="false" ht="15" hidden="false" customHeight="false" outlineLevel="0" collapsed="false">
      <c r="B18" s="13" t="s">
        <v>111</v>
      </c>
      <c r="C18" s="23" t="n">
        <f aca="false">C17</f>
        <v>-47000000</v>
      </c>
      <c r="D18" s="23" t="n">
        <f aca="false">C18+D17</f>
        <v>-37790000</v>
      </c>
      <c r="E18" s="23" t="n">
        <f aca="false">D18+E17</f>
        <v>-28090400</v>
      </c>
      <c r="F18" s="23" t="n">
        <f aca="false">E18+F17</f>
        <v>-17871824</v>
      </c>
      <c r="G18" s="23" t="n">
        <f aca="false">F18+G17</f>
        <v>-7103133.44</v>
      </c>
      <c r="H18" s="23" t="n">
        <f aca="false">G18+H17</f>
        <v>4248678.5536</v>
      </c>
      <c r="I18" s="23" t="n">
        <f aca="false">H18+I17</f>
        <v>16218599.266816</v>
      </c>
      <c r="J18" s="23" t="n">
        <f aca="false">I18+J17</f>
        <v>28843715.222825</v>
      </c>
      <c r="K18" s="23" t="n">
        <f aca="false">J18+K17</f>
        <v>42163338.1361945</v>
      </c>
      <c r="L18" s="23" t="n">
        <f aca="false">K18+L17</f>
        <v>56219138.4243661</v>
      </c>
      <c r="M18" s="23" t="n">
        <f aca="false">L18+M17</f>
        <v>74805286.7298281</v>
      </c>
    </row>
    <row r="20" customFormat="false" ht="15" hidden="false" customHeight="false" outlineLevel="0" collapsed="false">
      <c r="B20" s="3" t="s">
        <v>112</v>
      </c>
      <c r="C20" s="27" t="str">
        <f aca="false">IF(C6=0,"-",C8/C6)</f>
        <v>-</v>
      </c>
      <c r="D20" s="27" t="n">
        <f aca="false">IF(D6=0,"-",D8/D6)</f>
        <v>0.34</v>
      </c>
      <c r="E20" s="27" t="n">
        <f aca="false">IF(E6=0,"-",E8/E6)</f>
        <v>0.34</v>
      </c>
      <c r="F20" s="27" t="n">
        <f aca="false">IF(F6=0,"-",F8/F6)</f>
        <v>0.34</v>
      </c>
      <c r="G20" s="27" t="n">
        <f aca="false">IF(G6=0,"-",G8/G6)</f>
        <v>0.34</v>
      </c>
      <c r="H20" s="27" t="n">
        <f aca="false">IF(H6=0,"-",H8/H6)</f>
        <v>0.34</v>
      </c>
      <c r="I20" s="27" t="n">
        <f aca="false">IF(I6=0,"-",I8/I6)</f>
        <v>0.34</v>
      </c>
      <c r="J20" s="27" t="n">
        <f aca="false">IF(J6=0,"-",J8/J6)</f>
        <v>0.34</v>
      </c>
      <c r="K20" s="27" t="n">
        <f aca="false">IF(K6=0,"-",K8/K6)</f>
        <v>0.34</v>
      </c>
      <c r="L20" s="27" t="n">
        <f aca="false">IF(L6=0,"-",L8/L6)</f>
        <v>0.34</v>
      </c>
      <c r="M20" s="27" t="n">
        <f aca="false">IF(M6=0,"-",M8/M6)</f>
        <v>0.34</v>
      </c>
    </row>
  </sheetData>
  <mergeCells count="1">
    <mergeCell ref="B2:M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8"/>
    <col collapsed="false" customWidth="true" hidden="false" outlineLevel="0" max="5" min="3" style="0" width="18"/>
    <col collapsed="false" customWidth="true" hidden="false" outlineLevel="0" max="6" min="6" style="0" width="40"/>
  </cols>
  <sheetData>
    <row r="2" customFormat="false" ht="21.75" hidden="false" customHeight="true" outlineLevel="0" collapsed="false">
      <c r="B2" s="1" t="s">
        <v>113</v>
      </c>
      <c r="C2" s="1"/>
      <c r="D2" s="1"/>
      <c r="E2" s="1"/>
      <c r="F2" s="1"/>
    </row>
    <row r="3" customFormat="false" ht="15" hidden="false" customHeight="false" outlineLevel="0" collapsed="false">
      <c r="B3" s="3" t="s">
        <v>114</v>
      </c>
    </row>
    <row r="5" customFormat="false" ht="27.75" hidden="false" customHeight="true" outlineLevel="0" collapsed="false">
      <c r="B5" s="10" t="s">
        <v>115</v>
      </c>
      <c r="C5" s="10" t="s">
        <v>35</v>
      </c>
    </row>
    <row r="6" customFormat="false" ht="15" hidden="false" customHeight="false" outlineLevel="0" collapsed="false">
      <c r="B6" s="13" t="s">
        <v>48</v>
      </c>
      <c r="C6" s="24" t="n">
        <f aca="false">Assumptions!C12</f>
        <v>47000000</v>
      </c>
    </row>
    <row r="7" customFormat="false" ht="15" hidden="false" customHeight="false" outlineLevel="0" collapsed="false">
      <c r="B7" s="13" t="s">
        <v>116</v>
      </c>
      <c r="C7" s="24" t="n">
        <f aca="false">SUM('Cash Flow Engine'!D17:M17)</f>
        <v>121805286.729828</v>
      </c>
    </row>
    <row r="8" customFormat="false" ht="15" hidden="false" customHeight="false" outlineLevel="0" collapsed="false">
      <c r="B8" s="17" t="s">
        <v>117</v>
      </c>
      <c r="C8" s="18" t="n">
        <f aca="false">C7-C6</f>
        <v>74805286.7298281</v>
      </c>
    </row>
    <row r="9" customFormat="false" ht="15" hidden="false" customHeight="false" outlineLevel="0" collapsed="false">
      <c r="B9" s="12"/>
      <c r="C9" s="12"/>
    </row>
    <row r="10" customFormat="false" ht="18" hidden="false" customHeight="true" outlineLevel="0" collapsed="false">
      <c r="B10" s="11" t="s">
        <v>118</v>
      </c>
      <c r="C10" s="12"/>
    </row>
    <row r="11" customFormat="false" ht="15" hidden="false" customHeight="false" outlineLevel="0" collapsed="false">
      <c r="B11" s="17" t="s">
        <v>119</v>
      </c>
      <c r="C11" s="28" t="n">
        <f aca="false">C8/C6</f>
        <v>1.59160184531549</v>
      </c>
    </row>
    <row r="12" customFormat="false" ht="15" hidden="false" customHeight="false" outlineLevel="0" collapsed="false">
      <c r="B12" s="13" t="s">
        <v>120</v>
      </c>
      <c r="C12" s="29" t="n">
        <f aca="false">Assumptions!C9</f>
        <v>10</v>
      </c>
    </row>
    <row r="13" customFormat="false" ht="15" hidden="false" customHeight="false" outlineLevel="0" collapsed="false">
      <c r="B13" s="17" t="s">
        <v>121</v>
      </c>
      <c r="C13" s="28" t="n">
        <f aca="false">C11/C12</f>
        <v>0.159160184531549</v>
      </c>
    </row>
    <row r="14" customFormat="false" ht="15" hidden="false" customHeight="false" outlineLevel="0" collapsed="false">
      <c r="B14" s="30" t="s">
        <v>122</v>
      </c>
      <c r="C14" s="31" t="n">
        <f aca="false">C7/C6</f>
        <v>2.59160184531549</v>
      </c>
    </row>
    <row r="16" customFormat="false" ht="18" hidden="false" customHeight="true" outlineLevel="0" collapsed="false">
      <c r="B16" s="4" t="s">
        <v>123</v>
      </c>
    </row>
    <row r="17" customFormat="false" ht="27.75" hidden="false" customHeight="true" outlineLevel="0" collapsed="false">
      <c r="B17" s="10" t="s">
        <v>87</v>
      </c>
      <c r="C17" s="10" t="s">
        <v>124</v>
      </c>
      <c r="D17" s="10" t="s">
        <v>125</v>
      </c>
      <c r="E17" s="10" t="s">
        <v>126</v>
      </c>
      <c r="F17" s="10" t="s">
        <v>127</v>
      </c>
    </row>
    <row r="18" customFormat="false" ht="15" hidden="false" customHeight="false" outlineLevel="0" collapsed="false">
      <c r="B18" s="13" t="s">
        <v>89</v>
      </c>
      <c r="C18" s="24" t="n">
        <f aca="false">'Cash Flow Engine'!D17</f>
        <v>9210000</v>
      </c>
      <c r="D18" s="23" t="n">
        <f aca="false">SUM($C$18:C18)</f>
        <v>9210000</v>
      </c>
      <c r="E18" s="23" t="n">
        <f aca="false">D18-$C$6</f>
        <v>-37790000</v>
      </c>
      <c r="F18" s="32" t="n">
        <f aca="false">E18/$C$6</f>
        <v>-0.804042553191489</v>
      </c>
    </row>
    <row r="19" customFormat="false" ht="15" hidden="false" customHeight="false" outlineLevel="0" collapsed="false">
      <c r="B19" s="13" t="s">
        <v>90</v>
      </c>
      <c r="C19" s="24" t="n">
        <f aca="false">'Cash Flow Engine'!E17</f>
        <v>9699600</v>
      </c>
      <c r="D19" s="23" t="n">
        <f aca="false">SUM($C$18:C19)</f>
        <v>18909600</v>
      </c>
      <c r="E19" s="23" t="n">
        <f aca="false">D19-$C$6</f>
        <v>-28090400</v>
      </c>
      <c r="F19" s="32" t="n">
        <f aca="false">E19/$C$6</f>
        <v>-0.597668085106383</v>
      </c>
    </row>
    <row r="20" customFormat="false" ht="15" hidden="false" customHeight="false" outlineLevel="0" collapsed="false">
      <c r="B20" s="13" t="s">
        <v>91</v>
      </c>
      <c r="C20" s="24" t="n">
        <f aca="false">'Cash Flow Engine'!F17</f>
        <v>10218576</v>
      </c>
      <c r="D20" s="23" t="n">
        <f aca="false">SUM($C$18:C20)</f>
        <v>29128176</v>
      </c>
      <c r="E20" s="23" t="n">
        <f aca="false">D20-$C$6</f>
        <v>-17871824</v>
      </c>
      <c r="F20" s="32" t="n">
        <f aca="false">E20/$C$6</f>
        <v>-0.380251574468085</v>
      </c>
    </row>
    <row r="21" customFormat="false" ht="15" hidden="false" customHeight="false" outlineLevel="0" collapsed="false">
      <c r="B21" s="13" t="s">
        <v>92</v>
      </c>
      <c r="C21" s="24" t="n">
        <f aca="false">'Cash Flow Engine'!G17</f>
        <v>10768690.56</v>
      </c>
      <c r="D21" s="23" t="n">
        <f aca="false">SUM($C$18:C21)</f>
        <v>39896866.56</v>
      </c>
      <c r="E21" s="23" t="n">
        <f aca="false">D21-$C$6</f>
        <v>-7103133.44</v>
      </c>
      <c r="F21" s="32" t="n">
        <f aca="false">E21/$C$6</f>
        <v>-0.151130498723404</v>
      </c>
    </row>
    <row r="22" customFormat="false" ht="15" hidden="false" customHeight="false" outlineLevel="0" collapsed="false">
      <c r="B22" s="13" t="s">
        <v>93</v>
      </c>
      <c r="C22" s="24" t="n">
        <f aca="false">'Cash Flow Engine'!H17</f>
        <v>11351811.9936</v>
      </c>
      <c r="D22" s="23" t="n">
        <f aca="false">SUM($C$18:C22)</f>
        <v>51248678.5536</v>
      </c>
      <c r="E22" s="23" t="n">
        <f aca="false">D22-$C$6</f>
        <v>4248678.5536</v>
      </c>
      <c r="F22" s="32" t="n">
        <f aca="false">E22/$C$6</f>
        <v>0.0903974160340425</v>
      </c>
    </row>
    <row r="23" customFormat="false" ht="15" hidden="false" customHeight="false" outlineLevel="0" collapsed="false">
      <c r="B23" s="13" t="s">
        <v>94</v>
      </c>
      <c r="C23" s="24" t="n">
        <f aca="false">'Cash Flow Engine'!I17</f>
        <v>11969920.713216</v>
      </c>
      <c r="D23" s="23" t="n">
        <f aca="false">SUM($C$18:C23)</f>
        <v>63218599.266816</v>
      </c>
      <c r="E23" s="23" t="n">
        <f aca="false">D23-$C$6</f>
        <v>16218599.266816</v>
      </c>
      <c r="F23" s="32" t="n">
        <f aca="false">E23/$C$6</f>
        <v>0.345076580145021</v>
      </c>
    </row>
    <row r="24" customFormat="false" ht="15" hidden="false" customHeight="false" outlineLevel="0" collapsed="false">
      <c r="B24" s="13" t="s">
        <v>95</v>
      </c>
      <c r="C24" s="24" t="n">
        <f aca="false">'Cash Flow Engine'!J17</f>
        <v>12625115.956009</v>
      </c>
      <c r="D24" s="23" t="n">
        <f aca="false">SUM($C$18:C24)</f>
        <v>75843715.222825</v>
      </c>
      <c r="E24" s="23" t="n">
        <f aca="false">D24-$C$6</f>
        <v>28843715.222825</v>
      </c>
      <c r="F24" s="32" t="n">
        <f aca="false">E24/$C$6</f>
        <v>0.613696068570744</v>
      </c>
    </row>
    <row r="25" customFormat="false" ht="15" hidden="false" customHeight="false" outlineLevel="0" collapsed="false">
      <c r="B25" s="13" t="s">
        <v>96</v>
      </c>
      <c r="C25" s="24" t="n">
        <f aca="false">'Cash Flow Engine'!K17</f>
        <v>13319622.9133695</v>
      </c>
      <c r="D25" s="23" t="n">
        <f aca="false">SUM($C$18:C25)</f>
        <v>89163338.1361945</v>
      </c>
      <c r="E25" s="23" t="n">
        <f aca="false">D25-$C$6</f>
        <v>42163338.1361945</v>
      </c>
      <c r="F25" s="32" t="n">
        <f aca="false">E25/$C$6</f>
        <v>0.897092300770095</v>
      </c>
    </row>
    <row r="26" customFormat="false" ht="15" hidden="false" customHeight="false" outlineLevel="0" collapsed="false">
      <c r="B26" s="13" t="s">
        <v>97</v>
      </c>
      <c r="C26" s="24" t="n">
        <f aca="false">'Cash Flow Engine'!L17</f>
        <v>14055800.2881717</v>
      </c>
      <c r="D26" s="23" t="n">
        <f aca="false">SUM($C$18:C26)</f>
        <v>103219138.424366</v>
      </c>
      <c r="E26" s="23" t="n">
        <f aca="false">D26-$C$6</f>
        <v>56219138.4243661</v>
      </c>
      <c r="F26" s="32" t="n">
        <f aca="false">E26/$C$6</f>
        <v>1.19615188136949</v>
      </c>
    </row>
    <row r="27" customFormat="false" ht="15" hidden="false" customHeight="false" outlineLevel="0" collapsed="false">
      <c r="B27" s="13" t="s">
        <v>98</v>
      </c>
      <c r="C27" s="24" t="n">
        <f aca="false">'Cash Flow Engine'!M17</f>
        <v>18586148.305462</v>
      </c>
      <c r="D27" s="23" t="n">
        <f aca="false">SUM($C$18:C27)</f>
        <v>121805286.729828</v>
      </c>
      <c r="E27" s="23" t="n">
        <f aca="false">D27-$C$6</f>
        <v>74805286.7298281</v>
      </c>
      <c r="F27" s="32" t="n">
        <f aca="false">E27/$C$6</f>
        <v>1.59160184531549</v>
      </c>
    </row>
    <row r="29" customFormat="false" ht="18" hidden="false" customHeight="true" outlineLevel="0" collapsed="false">
      <c r="B29" s="4" t="s">
        <v>128</v>
      </c>
    </row>
    <row r="30" customFormat="false" ht="45" hidden="false" customHeight="true" outlineLevel="0" collapsed="false">
      <c r="B30" s="33" t="s">
        <v>129</v>
      </c>
      <c r="C30" s="33"/>
      <c r="D30" s="33"/>
      <c r="E30" s="33"/>
      <c r="F30" s="33"/>
    </row>
    <row r="31" customFormat="false" ht="15" hidden="false" customHeight="false" outlineLevel="0" collapsed="false">
      <c r="B31" s="33"/>
      <c r="C31" s="33"/>
      <c r="D31" s="33"/>
      <c r="E31" s="33"/>
      <c r="F31" s="33"/>
    </row>
    <row r="32" customFormat="false" ht="15" hidden="false" customHeight="false" outlineLevel="0" collapsed="false">
      <c r="B32" s="33"/>
      <c r="C32" s="33"/>
      <c r="D32" s="33"/>
      <c r="E32" s="33"/>
      <c r="F32" s="33"/>
    </row>
  </sheetData>
  <mergeCells count="2">
    <mergeCell ref="B2:F2"/>
    <mergeCell ref="B30:F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M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13" min="3" style="0" width="13"/>
    <col collapsed="false" customWidth="true" hidden="false" outlineLevel="0" max="14" min="14" style="0" width="3"/>
  </cols>
  <sheetData>
    <row r="2" customFormat="false" ht="21.75" hidden="false" customHeight="true" outlineLevel="0" collapsed="false">
      <c r="B2" s="1" t="s">
        <v>130</v>
      </c>
      <c r="C2" s="1"/>
      <c r="D2" s="1"/>
      <c r="E2" s="1"/>
      <c r="F2" s="1"/>
      <c r="G2" s="1"/>
      <c r="H2" s="1"/>
      <c r="I2" s="1"/>
      <c r="J2" s="1"/>
      <c r="K2" s="1"/>
      <c r="L2" s="1"/>
      <c r="M2" s="1"/>
    </row>
    <row r="3" customFormat="false" ht="15" hidden="false" customHeight="false" outlineLevel="0" collapsed="false">
      <c r="B3" s="3" t="s">
        <v>131</v>
      </c>
    </row>
    <row r="5" customFormat="false" ht="18" hidden="false" customHeight="true" outlineLevel="0" collapsed="false">
      <c r="B5" s="17" t="s">
        <v>87</v>
      </c>
      <c r="C5" s="22" t="s">
        <v>88</v>
      </c>
      <c r="D5" s="22" t="s">
        <v>89</v>
      </c>
      <c r="E5" s="22" t="s">
        <v>90</v>
      </c>
      <c r="F5" s="22" t="s">
        <v>91</v>
      </c>
      <c r="G5" s="22" t="s">
        <v>92</v>
      </c>
      <c r="H5" s="22" t="s">
        <v>93</v>
      </c>
      <c r="I5" s="22" t="s">
        <v>94</v>
      </c>
      <c r="J5" s="22" t="s">
        <v>95</v>
      </c>
      <c r="K5" s="22" t="s">
        <v>96</v>
      </c>
      <c r="L5" s="22" t="s">
        <v>97</v>
      </c>
      <c r="M5" s="22" t="s">
        <v>98</v>
      </c>
    </row>
    <row r="6" customFormat="false" ht="15" hidden="false" customHeight="false" outlineLevel="0" collapsed="false">
      <c r="B6" s="13" t="s">
        <v>132</v>
      </c>
      <c r="C6" s="24" t="n">
        <f aca="false">'Cash Flow Engine'!C17</f>
        <v>-47000000</v>
      </c>
      <c r="D6" s="24" t="n">
        <f aca="false">'Cash Flow Engine'!D17</f>
        <v>9210000</v>
      </c>
      <c r="E6" s="24" t="n">
        <f aca="false">'Cash Flow Engine'!E17</f>
        <v>9699600</v>
      </c>
      <c r="F6" s="24" t="n">
        <f aca="false">'Cash Flow Engine'!F17</f>
        <v>10218576</v>
      </c>
      <c r="G6" s="24" t="n">
        <f aca="false">'Cash Flow Engine'!G17</f>
        <v>10768690.56</v>
      </c>
      <c r="H6" s="24" t="n">
        <f aca="false">'Cash Flow Engine'!H17</f>
        <v>11351811.9936</v>
      </c>
      <c r="I6" s="24" t="n">
        <f aca="false">'Cash Flow Engine'!I17</f>
        <v>11969920.713216</v>
      </c>
      <c r="J6" s="24" t="n">
        <f aca="false">'Cash Flow Engine'!J17</f>
        <v>12625115.956009</v>
      </c>
      <c r="K6" s="24" t="n">
        <f aca="false">'Cash Flow Engine'!K17</f>
        <v>13319622.9133695</v>
      </c>
      <c r="L6" s="24" t="n">
        <f aca="false">'Cash Flow Engine'!L17</f>
        <v>14055800.2881717</v>
      </c>
      <c r="M6" s="24" t="n">
        <f aca="false">'Cash Flow Engine'!M17</f>
        <v>18586148.305462</v>
      </c>
    </row>
    <row r="7" customFormat="false" ht="15" hidden="false" customHeight="false" outlineLevel="0" collapsed="false">
      <c r="B7" s="17" t="s">
        <v>133</v>
      </c>
      <c r="C7" s="18" t="n">
        <f aca="false">C6</f>
        <v>-47000000</v>
      </c>
      <c r="D7" s="18" t="n">
        <f aca="false">C7+D6</f>
        <v>-37790000</v>
      </c>
      <c r="E7" s="18" t="n">
        <f aca="false">D7+E6</f>
        <v>-28090400</v>
      </c>
      <c r="F7" s="18" t="n">
        <f aca="false">E7+F6</f>
        <v>-17871824</v>
      </c>
      <c r="G7" s="18" t="n">
        <f aca="false">F7+G6</f>
        <v>-7103133.44</v>
      </c>
      <c r="H7" s="18" t="n">
        <f aca="false">G7+H6</f>
        <v>4248678.5536</v>
      </c>
      <c r="I7" s="18" t="n">
        <f aca="false">H7+I6</f>
        <v>16218599.266816</v>
      </c>
      <c r="J7" s="18" t="n">
        <f aca="false">I7+J6</f>
        <v>28843715.222825</v>
      </c>
      <c r="K7" s="18" t="n">
        <f aca="false">J7+K6</f>
        <v>42163338.1361945</v>
      </c>
      <c r="L7" s="18" t="n">
        <f aca="false">K7+L6</f>
        <v>56219138.4243661</v>
      </c>
      <c r="M7" s="18" t="n">
        <f aca="false">L7+M6</f>
        <v>74805286.7298281</v>
      </c>
    </row>
    <row r="8" customFormat="false" ht="15" hidden="false" customHeight="false" outlineLevel="0" collapsed="false">
      <c r="B8" s="12"/>
      <c r="C8" s="12"/>
      <c r="D8" s="12"/>
      <c r="E8" s="12"/>
      <c r="F8" s="12"/>
      <c r="G8" s="12"/>
      <c r="H8" s="12"/>
      <c r="I8" s="12"/>
      <c r="J8" s="12"/>
      <c r="K8" s="12"/>
      <c r="L8" s="12"/>
      <c r="M8" s="12"/>
    </row>
    <row r="9" customFormat="false" ht="15" hidden="false" customHeight="false" outlineLevel="0" collapsed="false">
      <c r="B9" s="13" t="s">
        <v>134</v>
      </c>
      <c r="C9" s="34" t="n">
        <f aca="false">Assumptions!C20</f>
        <v>0.09</v>
      </c>
      <c r="D9" s="12"/>
      <c r="E9" s="12"/>
      <c r="F9" s="12"/>
      <c r="G9" s="12"/>
      <c r="H9" s="12"/>
      <c r="I9" s="12"/>
      <c r="J9" s="12"/>
      <c r="K9" s="12"/>
      <c r="L9" s="12"/>
      <c r="M9" s="12"/>
    </row>
    <row r="10" customFormat="false" ht="15" hidden="false" customHeight="false" outlineLevel="0" collapsed="false">
      <c r="B10" s="13" t="s">
        <v>135</v>
      </c>
      <c r="C10" s="35" t="n">
        <f aca="false">1/(1+$C$9)^0</f>
        <v>1</v>
      </c>
      <c r="D10" s="35" t="n">
        <f aca="false">1/(1+$C$9)^1</f>
        <v>0.91743119266055</v>
      </c>
      <c r="E10" s="35" t="n">
        <f aca="false">1/(1+$C$9)^2</f>
        <v>0.84167999326656</v>
      </c>
      <c r="F10" s="35" t="n">
        <f aca="false">1/(1+$C$9)^3</f>
        <v>0.772183480061064</v>
      </c>
      <c r="G10" s="35" t="n">
        <f aca="false">1/(1+$C$9)^4</f>
        <v>0.708425211065196</v>
      </c>
      <c r="H10" s="35" t="n">
        <f aca="false">1/(1+$C$9)^5</f>
        <v>0.649931386298345</v>
      </c>
      <c r="I10" s="35" t="n">
        <f aca="false">1/(1+$C$9)^6</f>
        <v>0.596267326879216</v>
      </c>
      <c r="J10" s="35" t="n">
        <f aca="false">1/(1+$C$9)^7</f>
        <v>0.547034244843317</v>
      </c>
      <c r="K10" s="35" t="n">
        <f aca="false">1/(1+$C$9)^8</f>
        <v>0.501866279672768</v>
      </c>
      <c r="L10" s="35" t="n">
        <f aca="false">1/(1+$C$9)^9</f>
        <v>0.460427779516301</v>
      </c>
      <c r="M10" s="35" t="n">
        <f aca="false">1/(1+$C$9)^10</f>
        <v>0.422410806895689</v>
      </c>
    </row>
    <row r="11" customFormat="false" ht="15" hidden="false" customHeight="false" outlineLevel="0" collapsed="false">
      <c r="B11" s="13" t="s">
        <v>136</v>
      </c>
      <c r="C11" s="23" t="n">
        <f aca="false">C6*C10</f>
        <v>-47000000</v>
      </c>
      <c r="D11" s="23" t="n">
        <f aca="false">D6*D10</f>
        <v>8449541.28440367</v>
      </c>
      <c r="E11" s="23" t="n">
        <f aca="false">E6*E10</f>
        <v>8163959.26268833</v>
      </c>
      <c r="F11" s="23" t="n">
        <f aca="false">F6*F10</f>
        <v>7890615.57694847</v>
      </c>
      <c r="G11" s="23" t="n">
        <f aca="false">G6*G10</f>
        <v>7628811.88286379</v>
      </c>
      <c r="H11" s="23" t="n">
        <f aca="false">H6*H10</f>
        <v>7377898.90599863</v>
      </c>
      <c r="I11" s="23" t="n">
        <f aca="false">I6*I10</f>
        <v>7137272.62662546</v>
      </c>
      <c r="J11" s="23" t="n">
        <f aca="false">J6*J10</f>
        <v>6906370.77305468</v>
      </c>
      <c r="K11" s="23" t="n">
        <f aca="false">K6*K10</f>
        <v>6684669.59817691</v>
      </c>
      <c r="L11" s="23" t="n">
        <f aca="false">L6*L10</f>
        <v>6471680.91600746</v>
      </c>
      <c r="M11" s="23" t="n">
        <f aca="false">M6*M10</f>
        <v>7850989.90279313</v>
      </c>
    </row>
    <row r="12" customFormat="false" ht="15" hidden="false" customHeight="false" outlineLevel="0" collapsed="false">
      <c r="B12" s="17" t="s">
        <v>137</v>
      </c>
      <c r="C12" s="18" t="n">
        <f aca="false">C11</f>
        <v>-47000000</v>
      </c>
      <c r="D12" s="18" t="n">
        <f aca="false">C12+D11</f>
        <v>-38550458.7155963</v>
      </c>
      <c r="E12" s="18" t="n">
        <f aca="false">D12+E11</f>
        <v>-30386499.452908</v>
      </c>
      <c r="F12" s="18" t="n">
        <f aca="false">E12+F11</f>
        <v>-22495883.8759595</v>
      </c>
      <c r="G12" s="18" t="n">
        <f aca="false">F12+G11</f>
        <v>-14867071.9930958</v>
      </c>
      <c r="H12" s="18" t="n">
        <f aca="false">G12+H11</f>
        <v>-7489173.08709713</v>
      </c>
      <c r="I12" s="18" t="n">
        <f aca="false">H12+I11</f>
        <v>-351900.460471667</v>
      </c>
      <c r="J12" s="18" t="n">
        <f aca="false">I12+J11</f>
        <v>6554470.31258301</v>
      </c>
      <c r="K12" s="18" t="n">
        <f aca="false">J12+K11</f>
        <v>13239139.9107599</v>
      </c>
      <c r="L12" s="18" t="n">
        <f aca="false">K12+L11</f>
        <v>19710820.8267674</v>
      </c>
      <c r="M12" s="18" t="n">
        <f aca="false">L12+M11</f>
        <v>27561810.7295605</v>
      </c>
    </row>
    <row r="14" customFormat="false" ht="18" hidden="false" customHeight="true" outlineLevel="0" collapsed="false">
      <c r="B14" s="11" t="s">
        <v>138</v>
      </c>
      <c r="C14" s="12"/>
    </row>
    <row r="15" customFormat="false" ht="15" hidden="false" customHeight="false" outlineLevel="0" collapsed="false">
      <c r="B15" s="13" t="s">
        <v>139</v>
      </c>
      <c r="C15" s="36" t="n">
        <f aca="false">IFERROR(MATCH(TRUE(),INDEX(C7:M7&gt;0,0),0)-1,"Not achieved")</f>
        <v>5</v>
      </c>
    </row>
    <row r="16" customFormat="false" ht="15" hidden="false" customHeight="false" outlineLevel="0" collapsed="false">
      <c r="B16" s="17" t="s">
        <v>140</v>
      </c>
      <c r="C16" s="37" t="n">
        <f aca="false">IF(ISNUMBER(C15),C15+(-INDEX(C7:M7,1,C15+1))/INDEX(C6:M6,1,C15+2),"Not achieved")</f>
        <v>4.64505374301193</v>
      </c>
    </row>
    <row r="17" customFormat="false" ht="15" hidden="false" customHeight="false" outlineLevel="0" collapsed="false">
      <c r="B17" s="13" t="s">
        <v>141</v>
      </c>
      <c r="C17" s="36" t="n">
        <f aca="false">IFERROR(MATCH(TRUE(),INDEX(C12:M12&gt;0,0),0)-1,"Not achieved")</f>
        <v>7</v>
      </c>
    </row>
    <row r="18" customFormat="false" ht="15" hidden="false" customHeight="false" outlineLevel="0" collapsed="false">
      <c r="B18" s="17" t="s">
        <v>142</v>
      </c>
      <c r="C18" s="37" t="n">
        <f aca="false">IF(ISNUMBER(C17),C17+(-INDEX(C12:M12,1,C17+1))/INDEX(C11:M11,1,C17+2),"Not achieved")</f>
        <v>6.01947729557635</v>
      </c>
    </row>
    <row r="19" customFormat="false" ht="15" hidden="false" customHeight="false" outlineLevel="0" collapsed="false">
      <c r="B19" s="13" t="s">
        <v>120</v>
      </c>
      <c r="C19" s="29" t="n">
        <f aca="false">Assumptions!C9</f>
        <v>10</v>
      </c>
    </row>
    <row r="20" customFormat="false" ht="15" hidden="false" customHeight="false" outlineLevel="0" collapsed="false">
      <c r="B20" s="17" t="s">
        <v>143</v>
      </c>
      <c r="C20" s="38" t="str">
        <f aca="false">IF(C16&lt;=C19,"PASS - Recovers capital within project life","FAIL - Does not recover within life")</f>
        <v>PASS - Recovers capital within project life</v>
      </c>
    </row>
  </sheetData>
  <mergeCells count="1">
    <mergeCell ref="B2:M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M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13" min="3" style="0" width="13"/>
  </cols>
  <sheetData>
    <row r="2" customFormat="false" ht="21.75" hidden="false" customHeight="true" outlineLevel="0" collapsed="false">
      <c r="B2" s="1" t="s">
        <v>144</v>
      </c>
      <c r="C2" s="1"/>
      <c r="D2" s="1"/>
      <c r="E2" s="1"/>
      <c r="F2" s="1"/>
      <c r="G2" s="1"/>
      <c r="H2" s="1"/>
      <c r="I2" s="1"/>
      <c r="J2" s="1"/>
      <c r="K2" s="1"/>
      <c r="L2" s="1"/>
      <c r="M2" s="1"/>
    </row>
    <row r="3" customFormat="false" ht="15" hidden="false" customHeight="false" outlineLevel="0" collapsed="false">
      <c r="B3" s="3" t="s">
        <v>145</v>
      </c>
    </row>
    <row r="5" customFormat="false" ht="18" hidden="false" customHeight="true" outlineLevel="0" collapsed="false">
      <c r="B5" s="17" t="s">
        <v>87</v>
      </c>
      <c r="C5" s="22" t="s">
        <v>88</v>
      </c>
      <c r="D5" s="22" t="s">
        <v>89</v>
      </c>
      <c r="E5" s="22" t="s">
        <v>90</v>
      </c>
      <c r="F5" s="22" t="s">
        <v>91</v>
      </c>
      <c r="G5" s="22" t="s">
        <v>92</v>
      </c>
      <c r="H5" s="22" t="s">
        <v>93</v>
      </c>
      <c r="I5" s="22" t="s">
        <v>94</v>
      </c>
      <c r="J5" s="22" t="s">
        <v>95</v>
      </c>
      <c r="K5" s="22" t="s">
        <v>96</v>
      </c>
      <c r="L5" s="22" t="s">
        <v>97</v>
      </c>
      <c r="M5" s="22" t="s">
        <v>98</v>
      </c>
    </row>
    <row r="6" customFormat="false" ht="15" hidden="false" customHeight="false" outlineLevel="0" collapsed="false">
      <c r="B6" s="13" t="s">
        <v>132</v>
      </c>
      <c r="C6" s="24" t="n">
        <f aca="false">'Cash Flow Engine'!C17</f>
        <v>-47000000</v>
      </c>
      <c r="D6" s="24" t="n">
        <f aca="false">'Cash Flow Engine'!D17</f>
        <v>9210000</v>
      </c>
      <c r="E6" s="24" t="n">
        <f aca="false">'Cash Flow Engine'!E17</f>
        <v>9699600</v>
      </c>
      <c r="F6" s="24" t="n">
        <f aca="false">'Cash Flow Engine'!F17</f>
        <v>10218576</v>
      </c>
      <c r="G6" s="24" t="n">
        <f aca="false">'Cash Flow Engine'!G17</f>
        <v>10768690.56</v>
      </c>
      <c r="H6" s="24" t="n">
        <f aca="false">'Cash Flow Engine'!H17</f>
        <v>11351811.9936</v>
      </c>
      <c r="I6" s="24" t="n">
        <f aca="false">'Cash Flow Engine'!I17</f>
        <v>11969920.713216</v>
      </c>
      <c r="J6" s="24" t="n">
        <f aca="false">'Cash Flow Engine'!J17</f>
        <v>12625115.956009</v>
      </c>
      <c r="K6" s="24" t="n">
        <f aca="false">'Cash Flow Engine'!K17</f>
        <v>13319622.9133695</v>
      </c>
      <c r="L6" s="24" t="n">
        <f aca="false">'Cash Flow Engine'!L17</f>
        <v>14055800.2881717</v>
      </c>
      <c r="M6" s="24" t="n">
        <f aca="false">'Cash Flow Engine'!M17</f>
        <v>18586148.305462</v>
      </c>
    </row>
    <row r="7" customFormat="false" ht="15" hidden="false" customHeight="false" outlineLevel="0" collapsed="false">
      <c r="B7" s="13" t="s">
        <v>146</v>
      </c>
      <c r="C7" s="35" t="n">
        <f aca="false">1/(1+Assumptions!$C$20)^0</f>
        <v>1</v>
      </c>
      <c r="D7" s="35" t="n">
        <f aca="false">1/(1+Assumptions!$C$20)^1</f>
        <v>0.91743119266055</v>
      </c>
      <c r="E7" s="35" t="n">
        <f aca="false">1/(1+Assumptions!$C$20)^2</f>
        <v>0.84167999326656</v>
      </c>
      <c r="F7" s="35" t="n">
        <f aca="false">1/(1+Assumptions!$C$20)^3</f>
        <v>0.772183480061064</v>
      </c>
      <c r="G7" s="35" t="n">
        <f aca="false">1/(1+Assumptions!$C$20)^4</f>
        <v>0.708425211065196</v>
      </c>
      <c r="H7" s="35" t="n">
        <f aca="false">1/(1+Assumptions!$C$20)^5</f>
        <v>0.649931386298345</v>
      </c>
      <c r="I7" s="35" t="n">
        <f aca="false">1/(1+Assumptions!$C$20)^6</f>
        <v>0.596267326879216</v>
      </c>
      <c r="J7" s="35" t="n">
        <f aca="false">1/(1+Assumptions!$C$20)^7</f>
        <v>0.547034244843317</v>
      </c>
      <c r="K7" s="35" t="n">
        <f aca="false">1/(1+Assumptions!$C$20)^8</f>
        <v>0.501866279672768</v>
      </c>
      <c r="L7" s="35" t="n">
        <f aca="false">1/(1+Assumptions!$C$20)^9</f>
        <v>0.460427779516301</v>
      </c>
      <c r="M7" s="35" t="n">
        <f aca="false">1/(1+Assumptions!$C$20)^10</f>
        <v>0.422410806895689</v>
      </c>
    </row>
    <row r="8" customFormat="false" ht="15" hidden="false" customHeight="false" outlineLevel="0" collapsed="false">
      <c r="B8" s="6" t="s">
        <v>147</v>
      </c>
      <c r="C8" s="39" t="n">
        <f aca="false">C6*C7</f>
        <v>-47000000</v>
      </c>
      <c r="D8" s="39" t="n">
        <f aca="false">D6*D7</f>
        <v>8449541.28440367</v>
      </c>
      <c r="E8" s="39" t="n">
        <f aca="false">E6*E7</f>
        <v>8163959.26268833</v>
      </c>
      <c r="F8" s="39" t="n">
        <f aca="false">F6*F7</f>
        <v>7890615.57694847</v>
      </c>
      <c r="G8" s="39" t="n">
        <f aca="false">G6*G7</f>
        <v>7628811.88286379</v>
      </c>
      <c r="H8" s="39" t="n">
        <f aca="false">H6*H7</f>
        <v>7377898.90599863</v>
      </c>
      <c r="I8" s="39" t="n">
        <f aca="false">I6*I7</f>
        <v>7137272.62662546</v>
      </c>
      <c r="J8" s="39" t="n">
        <f aca="false">J6*J7</f>
        <v>6906370.77305468</v>
      </c>
      <c r="K8" s="39" t="n">
        <f aca="false">K6*K7</f>
        <v>6684669.59817691</v>
      </c>
      <c r="L8" s="39" t="n">
        <f aca="false">L6*L7</f>
        <v>6471680.91600746</v>
      </c>
      <c r="M8" s="39" t="n">
        <f aca="false">M6*M7</f>
        <v>7850989.90279313</v>
      </c>
    </row>
    <row r="10" customFormat="false" ht="18" hidden="false" customHeight="true" outlineLevel="0" collapsed="false">
      <c r="B10" s="11" t="s">
        <v>148</v>
      </c>
      <c r="C10" s="12"/>
    </row>
    <row r="11" customFormat="false" ht="15" hidden="false" customHeight="false" outlineLevel="0" collapsed="false">
      <c r="B11" s="13" t="s">
        <v>134</v>
      </c>
      <c r="C11" s="34" t="n">
        <f aca="false">Assumptions!C20</f>
        <v>0.09</v>
      </c>
    </row>
    <row r="12" customFormat="false" ht="15" hidden="false" customHeight="false" outlineLevel="0" collapsed="false">
      <c r="B12" s="13" t="s">
        <v>149</v>
      </c>
      <c r="C12" s="23" t="n">
        <f aca="false">SUM(D8:M8)</f>
        <v>74561810.7295605</v>
      </c>
    </row>
    <row r="13" customFormat="false" ht="15" hidden="false" customHeight="false" outlineLevel="0" collapsed="false">
      <c r="B13" s="13" t="s">
        <v>150</v>
      </c>
      <c r="C13" s="23" t="n">
        <f aca="false">-C6</f>
        <v>47000000</v>
      </c>
    </row>
    <row r="14" customFormat="false" ht="15" hidden="false" customHeight="false" outlineLevel="0" collapsed="false">
      <c r="B14" s="17" t="s">
        <v>151</v>
      </c>
      <c r="C14" s="26" t="n">
        <f aca="false">C12-C13</f>
        <v>27561810.7295605</v>
      </c>
    </row>
    <row r="15" customFormat="false" ht="15" hidden="false" customHeight="false" outlineLevel="0" collapsed="false">
      <c r="B15" s="13" t="s">
        <v>152</v>
      </c>
      <c r="C15" s="23" t="n">
        <f aca="false">NPV(Assumptions!$C$20,D6:M6)+C6</f>
        <v>27561810.7295605</v>
      </c>
    </row>
    <row r="16" customFormat="false" ht="15" hidden="false" customHeight="false" outlineLevel="0" collapsed="false">
      <c r="B16" s="13" t="s">
        <v>153</v>
      </c>
      <c r="C16" s="40" t="n">
        <f aca="false">C12/C13</f>
        <v>1.58642150488427</v>
      </c>
    </row>
    <row r="17" customFormat="false" ht="15" hidden="false" customHeight="false" outlineLevel="0" collapsed="false">
      <c r="B17" s="6" t="s">
        <v>154</v>
      </c>
      <c r="C17" s="41" t="str">
        <f aca="false">IF(C14&gt;0,"ACCEPT - NPV is positive, adds shareholder value","REJECT - NPV is negative")</f>
        <v>ACCEPT - NPV is positive, adds shareholder value</v>
      </c>
    </row>
  </sheetData>
  <mergeCells count="1">
    <mergeCell ref="B2:M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M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13" min="3" style="0" width="13"/>
  </cols>
  <sheetData>
    <row r="2" customFormat="false" ht="21.75" hidden="false" customHeight="true" outlineLevel="0" collapsed="false">
      <c r="B2" s="1" t="s">
        <v>155</v>
      </c>
      <c r="C2" s="1"/>
      <c r="D2" s="1"/>
      <c r="E2" s="1"/>
      <c r="F2" s="1"/>
      <c r="G2" s="1"/>
      <c r="H2" s="1"/>
      <c r="I2" s="1"/>
      <c r="J2" s="1"/>
      <c r="K2" s="1"/>
      <c r="L2" s="1"/>
      <c r="M2" s="1"/>
    </row>
    <row r="3" customFormat="false" ht="15" hidden="false" customHeight="false" outlineLevel="0" collapsed="false">
      <c r="B3" s="3" t="s">
        <v>156</v>
      </c>
    </row>
    <row r="5" customFormat="false" ht="18" hidden="false" customHeight="true" outlineLevel="0" collapsed="false">
      <c r="B5" s="17" t="s">
        <v>87</v>
      </c>
      <c r="C5" s="22" t="s">
        <v>88</v>
      </c>
      <c r="D5" s="22" t="s">
        <v>89</v>
      </c>
      <c r="E5" s="22" t="s">
        <v>90</v>
      </c>
      <c r="F5" s="22" t="s">
        <v>91</v>
      </c>
      <c r="G5" s="22" t="s">
        <v>92</v>
      </c>
      <c r="H5" s="22" t="s">
        <v>93</v>
      </c>
      <c r="I5" s="22" t="s">
        <v>94</v>
      </c>
      <c r="J5" s="22" t="s">
        <v>95</v>
      </c>
      <c r="K5" s="22" t="s">
        <v>96</v>
      </c>
      <c r="L5" s="22" t="s">
        <v>97</v>
      </c>
      <c r="M5" s="22" t="s">
        <v>98</v>
      </c>
    </row>
    <row r="6" customFormat="false" ht="15" hidden="false" customHeight="false" outlineLevel="0" collapsed="false">
      <c r="B6" s="30" t="s">
        <v>132</v>
      </c>
      <c r="C6" s="42" t="n">
        <f aca="false">'Cash Flow Engine'!C17</f>
        <v>-47000000</v>
      </c>
      <c r="D6" s="42" t="n">
        <f aca="false">'Cash Flow Engine'!D17</f>
        <v>9210000</v>
      </c>
      <c r="E6" s="42" t="n">
        <f aca="false">'Cash Flow Engine'!E17</f>
        <v>9699600</v>
      </c>
      <c r="F6" s="42" t="n">
        <f aca="false">'Cash Flow Engine'!F17</f>
        <v>10218576</v>
      </c>
      <c r="G6" s="42" t="n">
        <f aca="false">'Cash Flow Engine'!G17</f>
        <v>10768690.56</v>
      </c>
      <c r="H6" s="42" t="n">
        <f aca="false">'Cash Flow Engine'!H17</f>
        <v>11351811.9936</v>
      </c>
      <c r="I6" s="42" t="n">
        <f aca="false">'Cash Flow Engine'!I17</f>
        <v>11969920.713216</v>
      </c>
      <c r="J6" s="42" t="n">
        <f aca="false">'Cash Flow Engine'!J17</f>
        <v>12625115.956009</v>
      </c>
      <c r="K6" s="42" t="n">
        <f aca="false">'Cash Flow Engine'!K17</f>
        <v>13319622.9133695</v>
      </c>
      <c r="L6" s="42" t="n">
        <f aca="false">'Cash Flow Engine'!L17</f>
        <v>14055800.2881717</v>
      </c>
      <c r="M6" s="42" t="n">
        <f aca="false">'Cash Flow Engine'!M17</f>
        <v>18586148.305462</v>
      </c>
    </row>
    <row r="8" customFormat="false" ht="18" hidden="false" customHeight="true" outlineLevel="0" collapsed="false">
      <c r="B8" s="11" t="s">
        <v>157</v>
      </c>
      <c r="C8" s="12"/>
    </row>
    <row r="9" customFormat="false" ht="15" hidden="false" customHeight="false" outlineLevel="0" collapsed="false">
      <c r="B9" s="17" t="s">
        <v>158</v>
      </c>
      <c r="C9" s="43" t="n">
        <f aca="false">IRR(C6:M6)</f>
        <v>0.196812299907106</v>
      </c>
    </row>
    <row r="10" customFormat="false" ht="15" hidden="false" customHeight="false" outlineLevel="0" collapsed="false">
      <c r="B10" s="13" t="s">
        <v>159</v>
      </c>
      <c r="C10" s="34" t="n">
        <f aca="false">Assumptions!C20</f>
        <v>0.09</v>
      </c>
    </row>
    <row r="11" customFormat="false" ht="15" hidden="false" customHeight="false" outlineLevel="0" collapsed="false">
      <c r="B11" s="17" t="s">
        <v>160</v>
      </c>
      <c r="C11" s="44" t="n">
        <f aca="false">C9-C10</f>
        <v>0.106812299907106</v>
      </c>
    </row>
    <row r="12" customFormat="false" ht="15" hidden="false" customHeight="false" outlineLevel="0" collapsed="false">
      <c r="B12" s="13" t="s">
        <v>161</v>
      </c>
      <c r="C12" s="45" t="n">
        <f aca="false">MIRR(C6:M6,C10,C10)</f>
        <v>0.141480131959229</v>
      </c>
    </row>
    <row r="13" customFormat="false" ht="15" hidden="false" customHeight="false" outlineLevel="0" collapsed="false">
      <c r="B13" s="6" t="s">
        <v>154</v>
      </c>
      <c r="C13" s="41" t="str">
        <f aca="false">IF(C9&gt;C10,"ACCEPT - IRR exceeds cost of capital","REJECT - IRR below cost of capital")</f>
        <v>ACCEPT - IRR exceeds cost of capital</v>
      </c>
    </row>
    <row r="15" customFormat="false" ht="18" hidden="false" customHeight="true" outlineLevel="0" collapsed="false">
      <c r="B15" s="4" t="s">
        <v>162</v>
      </c>
    </row>
    <row r="16" customFormat="false" ht="15" hidden="false" customHeight="false" outlineLevel="0" collapsed="false">
      <c r="B16" s="46" t="s">
        <v>163</v>
      </c>
    </row>
    <row r="17" customFormat="false" ht="15" hidden="false" customHeight="false" outlineLevel="0" collapsed="false">
      <c r="B17" s="17" t="s">
        <v>164</v>
      </c>
      <c r="C17" s="47" t="n">
        <v>-0.02</v>
      </c>
      <c r="D17" s="47" t="n">
        <v>0</v>
      </c>
      <c r="E17" s="47" t="n">
        <v>0.02</v>
      </c>
      <c r="F17" s="47" t="n">
        <v>0.04</v>
      </c>
      <c r="G17" s="47" t="n">
        <v>0.06</v>
      </c>
      <c r="H17" s="47" t="n">
        <v>0.08</v>
      </c>
      <c r="I17" s="47" t="n">
        <v>0.1</v>
      </c>
    </row>
    <row r="18" customFormat="false" ht="15" hidden="false" customHeight="false" outlineLevel="0" collapsed="false">
      <c r="B18" s="47" t="n">
        <v>0.05</v>
      </c>
      <c r="C18" s="23" t="n">
        <f aca="true">-Assumptions!$C$12+SUMPRODUCT(((Assumptions!$C$15*(1+C$17)^(ROW(INDIRECT("1:10"))-1)*(1-Assumptions!$C$17)-Assumptions!$C$7/Assumptions!$C$18)*(1-Assumptions!$C$19)+Assumptions!$C$7/Assumptions!$C$18)/(1+$B18)^ROW(INDIRECT("1:10")))+Assumptions!$C$10*(1-Assumptions!$C$19)/(1+$B18)^10</f>
        <v>21507817.889435</v>
      </c>
      <c r="D18" s="23" t="n">
        <f aca="true">-Assumptions!$C$12+SUMPRODUCT(((Assumptions!$C$15*(1+D$17)^(ROW(INDIRECT("1:10"))-1)*(1-Assumptions!$C$17)-Assumptions!$C$7/Assumptions!$C$18)*(1-Assumptions!$C$19)+Assumptions!$C$7/Assumptions!$C$18)/(1+$B18)^ROW(INDIRECT("1:10")))+Assumptions!$C$10*(1-Assumptions!$C$19)/(1+$B18)^10</f>
        <v>26419353.3985699</v>
      </c>
      <c r="E18" s="23" t="n">
        <f aca="true">-Assumptions!$C$12+SUMPRODUCT(((Assumptions!$C$15*(1+E$17)^(ROW(INDIRECT("1:10"))-1)*(1-Assumptions!$C$17)-Assumptions!$C$7/Assumptions!$C$18)*(1-Assumptions!$C$19)+Assumptions!$C$7/Assumptions!$C$18)/(1+$B18)^ROW(INDIRECT("1:10")))+Assumptions!$C$10*(1-Assumptions!$C$19)/(1+$B18)^10</f>
        <v>31856938.5002745</v>
      </c>
      <c r="F18" s="23" t="n">
        <f aca="true">-Assumptions!$C$12+SUMPRODUCT(((Assumptions!$C$15*(1+F$17)^(ROW(INDIRECT("1:10"))-1)*(1-Assumptions!$C$17)-Assumptions!$C$7/Assumptions!$C$18)*(1-Assumptions!$C$19)+Assumptions!$C$7/Assumptions!$C$18)/(1+$B18)^ROW(INDIRECT("1:10")))+Assumptions!$C$10*(1-Assumptions!$C$19)/(1+$B18)^10</f>
        <v>37876863.0251243</v>
      </c>
      <c r="G18" s="23" t="n">
        <f aca="true">-Assumptions!$C$12+SUMPRODUCT(((Assumptions!$C$15*(1+G$17)^(ROW(INDIRECT("1:10"))-1)*(1-Assumptions!$C$17)-Assumptions!$C$7/Assumptions!$C$18)*(1-Assumptions!$C$19)+Assumptions!$C$7/Assumptions!$C$18)/(1+$B18)^ROW(INDIRECT("1:10")))+Assumptions!$C$10*(1-Assumptions!$C$19)/(1+$B18)^10</f>
        <v>44540907.3365897</v>
      </c>
      <c r="H18" s="23" t="n">
        <f aca="true">-Assumptions!$C$12+SUMPRODUCT(((Assumptions!$C$15*(1+H$17)^(ROW(INDIRECT("1:10"))-1)*(1-Assumptions!$C$17)-Assumptions!$C$7/Assumptions!$C$18)*(1-Assumptions!$C$19)+Assumptions!$C$7/Assumptions!$C$18)/(1+$B18)^ROW(INDIRECT("1:10")))+Assumptions!$C$10*(1-Assumptions!$C$19)/(1+$B18)^10</f>
        <v>51916802.4059514</v>
      </c>
      <c r="I18" s="23" t="n">
        <f aca="true">-Assumptions!$C$12+SUMPRODUCT(((Assumptions!$C$15*(1+I$17)^(ROW(INDIRECT("1:10"))-1)*(1-Assumptions!$C$17)-Assumptions!$C$7/Assumptions!$C$18)*(1-Assumptions!$C$19)+Assumptions!$C$7/Assumptions!$C$18)/(1+$B18)^ROW(INDIRECT("1:10")))+Assumptions!$C$10*(1-Assumptions!$C$19)/(1+$B18)^10</f>
        <v>60078721.1727964</v>
      </c>
    </row>
    <row r="19" customFormat="false" ht="15" hidden="false" customHeight="false" outlineLevel="0" collapsed="false">
      <c r="B19" s="47" t="n">
        <v>0.07</v>
      </c>
      <c r="C19" s="23" t="n">
        <f aca="true">-Assumptions!$C$12+SUMPRODUCT(((Assumptions!$C$15*(1+C$17)^(ROW(INDIRECT("1:10"))-1)*(1-Assumptions!$C$17)-Assumptions!$C$7/Assumptions!$C$18)*(1-Assumptions!$C$19)+Assumptions!$C$7/Assumptions!$C$18)/(1+$B19)^ROW(INDIRECT("1:10")))+Assumptions!$C$10*(1-Assumptions!$C$19)/(1+$B19)^10</f>
        <v>15288577.0711388</v>
      </c>
      <c r="D19" s="23" t="n">
        <f aca="true">-Assumptions!$C$12+SUMPRODUCT(((Assumptions!$C$15*(1+D$17)^(ROW(INDIRECT("1:10"))-1)*(1-Assumptions!$C$17)-Assumptions!$C$7/Assumptions!$C$18)*(1-Assumptions!$C$19)+Assumptions!$C$7/Assumptions!$C$18)/(1+$B19)^ROW(INDIRECT("1:10")))+Assumptions!$C$10*(1-Assumptions!$C$19)/(1+$B19)^10</f>
        <v>19593495.8374944</v>
      </c>
      <c r="E19" s="23" t="n">
        <f aca="true">-Assumptions!$C$12+SUMPRODUCT(((Assumptions!$C$15*(1+E$17)^(ROW(INDIRECT("1:10"))-1)*(1-Assumptions!$C$17)-Assumptions!$C$7/Assumptions!$C$18)*(1-Assumptions!$C$19)+Assumptions!$C$7/Assumptions!$C$18)/(1+$B19)^ROW(INDIRECT("1:10")))+Assumptions!$C$10*(1-Assumptions!$C$19)/(1+$B19)^10</f>
        <v>24350118.5385379</v>
      </c>
      <c r="F19" s="23" t="n">
        <f aca="true">-Assumptions!$C$12+SUMPRODUCT(((Assumptions!$C$15*(1+F$17)^(ROW(INDIRECT("1:10"))-1)*(1-Assumptions!$C$17)-Assumptions!$C$7/Assumptions!$C$18)*(1-Assumptions!$C$19)+Assumptions!$C$7/Assumptions!$C$18)/(1+$B19)^ROW(INDIRECT("1:10")))+Assumptions!$C$10*(1-Assumptions!$C$19)/(1+$B19)^10</f>
        <v>29606201.8999655</v>
      </c>
      <c r="G19" s="23" t="n">
        <f aca="true">-Assumptions!$C$12+SUMPRODUCT(((Assumptions!$C$15*(1+G$17)^(ROW(INDIRECT("1:10"))-1)*(1-Assumptions!$C$17)-Assumptions!$C$7/Assumptions!$C$18)*(1-Assumptions!$C$19)+Assumptions!$C$7/Assumptions!$C$18)/(1+$B19)^ROW(INDIRECT("1:10")))+Assumptions!$C$10*(1-Assumptions!$C$19)/(1+$B19)^10</f>
        <v>35414124.8348263</v>
      </c>
      <c r="H19" s="23" t="n">
        <f aca="true">-Assumptions!$C$12+SUMPRODUCT(((Assumptions!$C$15*(1+H$17)^(ROW(INDIRECT("1:10"))-1)*(1-Assumptions!$C$17)-Assumptions!$C$7/Assumptions!$C$18)*(1-Assumptions!$C$19)+Assumptions!$C$7/Assumptions!$C$18)/(1+$B19)^ROW(INDIRECT("1:10")))+Assumptions!$C$10*(1-Assumptions!$C$19)/(1+$B19)^10</f>
        <v>41831273.6781086</v>
      </c>
      <c r="I19" s="23" t="n">
        <f aca="true">-Assumptions!$C$12+SUMPRODUCT(((Assumptions!$C$15*(1+I$17)^(ROW(INDIRECT("1:10"))-1)*(1-Assumptions!$C$17)-Assumptions!$C$7/Assumptions!$C$18)*(1-Assumptions!$C$19)+Assumptions!$C$7/Assumptions!$C$18)/(1+$B19)^ROW(INDIRECT("1:10")))+Assumptions!$C$10*(1-Assumptions!$C$19)/(1+$B19)^10</f>
        <v>48920453.5149587</v>
      </c>
    </row>
    <row r="20" customFormat="false" ht="15" hidden="false" customHeight="false" outlineLevel="0" collapsed="false">
      <c r="B20" s="47" t="n">
        <v>0.09</v>
      </c>
      <c r="C20" s="23" t="n">
        <f aca="true">-Assumptions!$C$12+SUMPRODUCT(((Assumptions!$C$15*(1+C$17)^(ROW(INDIRECT("1:10"))-1)*(1-Assumptions!$C$17)-Assumptions!$C$7/Assumptions!$C$18)*(1-Assumptions!$C$19)+Assumptions!$C$7/Assumptions!$C$18)/(1+$B20)^ROW(INDIRECT("1:10")))+Assumptions!$C$10*(1-Assumptions!$C$19)/(1+$B20)^10</f>
        <v>9901258.10677452</v>
      </c>
      <c r="D20" s="23" t="n">
        <f aca="true">-Assumptions!$C$12+SUMPRODUCT(((Assumptions!$C$15*(1+D$17)^(ROW(INDIRECT("1:10"))-1)*(1-Assumptions!$C$17)-Assumptions!$C$7/Assumptions!$C$18)*(1-Assumptions!$C$19)+Assumptions!$C$7/Assumptions!$C$18)/(1+$B20)^ROW(INDIRECT("1:10")))+Assumptions!$C$10*(1-Assumptions!$C$19)/(1+$B20)^10</f>
        <v>13690667.9535333</v>
      </c>
      <c r="E20" s="23" t="n">
        <f aca="true">-Assumptions!$C$12+SUMPRODUCT(((Assumptions!$C$15*(1+E$17)^(ROW(INDIRECT("1:10"))-1)*(1-Assumptions!$C$17)-Assumptions!$C$7/Assumptions!$C$18)*(1-Assumptions!$C$19)+Assumptions!$C$7/Assumptions!$C$18)/(1+$B20)^ROW(INDIRECT("1:10")))+Assumptions!$C$10*(1-Assumptions!$C$19)/(1+$B20)^10</f>
        <v>17869467.4112352</v>
      </c>
      <c r="F20" s="23" t="n">
        <f aca="true">-Assumptions!$C$12+SUMPRODUCT(((Assumptions!$C$15*(1+F$17)^(ROW(INDIRECT("1:10"))-1)*(1-Assumptions!$C$17)-Assumptions!$C$7/Assumptions!$C$18)*(1-Assumptions!$C$19)+Assumptions!$C$7/Assumptions!$C$18)/(1+$B20)^ROW(INDIRECT("1:10")))+Assumptions!$C$10*(1-Assumptions!$C$19)/(1+$B20)^10</f>
        <v>22478324.0799171</v>
      </c>
      <c r="G20" s="48" t="n">
        <f aca="true">-Assumptions!$C$12+SUMPRODUCT(((Assumptions!$C$15*(1+G$17)^(ROW(INDIRECT("1:10"))-1)*(1-Assumptions!$C$17)-Assumptions!$C$7/Assumptions!$C$18)*(1-Assumptions!$C$19)+Assumptions!$C$7/Assumptions!$C$18)/(1+$B20)^ROW(INDIRECT("1:10")))+Assumptions!$C$10*(1-Assumptions!$C$19)/(1+$B20)^10</f>
        <v>27561810.7295605</v>
      </c>
      <c r="H20" s="23" t="n">
        <f aca="true">-Assumptions!$C$12+SUMPRODUCT(((Assumptions!$C$15*(1+H$17)^(ROW(INDIRECT("1:10"))-1)*(1-Assumptions!$C$17)-Assumptions!$C$7/Assumptions!$C$18)*(1-Assumptions!$C$19)+Assumptions!$C$7/Assumptions!$C$18)/(1+$B20)^ROW(INDIRECT("1:10")))+Assumptions!$C$10*(1-Assumptions!$C$19)/(1+$B20)^10</f>
        <v>33168729.0098543</v>
      </c>
      <c r="I20" s="23" t="n">
        <f aca="true">-Assumptions!$C$12+SUMPRODUCT(((Assumptions!$C$15*(1+I$17)^(ROW(INDIRECT("1:10"))-1)*(1-Assumptions!$C$17)-Assumptions!$C$7/Assumptions!$C$18)*(1-Assumptions!$C$19)+Assumptions!$C$7/Assumptions!$C$18)/(1+$B20)^ROW(INDIRECT("1:10")))+Assumptions!$C$10*(1-Assumptions!$C$19)/(1+$B20)^10</f>
        <v>39352454.9996437</v>
      </c>
    </row>
    <row r="21" customFormat="false" ht="15" hidden="false" customHeight="false" outlineLevel="0" collapsed="false">
      <c r="B21" s="47" t="n">
        <v>0.11</v>
      </c>
      <c r="C21" s="23" t="n">
        <f aca="true">-Assumptions!$C$12+SUMPRODUCT(((Assumptions!$C$15*(1+C$17)^(ROW(INDIRECT("1:10"))-1)*(1-Assumptions!$C$17)-Assumptions!$C$7/Assumptions!$C$18)*(1-Assumptions!$C$19)+Assumptions!$C$7/Assumptions!$C$18)/(1+$B21)^ROW(INDIRECT("1:10")))+Assumptions!$C$10*(1-Assumptions!$C$19)/(1+$B21)^10</f>
        <v>5211119.6946858</v>
      </c>
      <c r="D21" s="23" t="n">
        <f aca="true">-Assumptions!$C$12+SUMPRODUCT(((Assumptions!$C$15*(1+D$17)^(ROW(INDIRECT("1:10"))-1)*(1-Assumptions!$C$17)-Assumptions!$C$7/Assumptions!$C$18)*(1-Assumptions!$C$19)+Assumptions!$C$7/Assumptions!$C$18)/(1+$B21)^ROW(INDIRECT("1:10")))+Assumptions!$C$10*(1-Assumptions!$C$19)/(1+$B21)^10</f>
        <v>8560518.61801473</v>
      </c>
      <c r="E21" s="23" t="n">
        <f aca="true">-Assumptions!$C$12+SUMPRODUCT(((Assumptions!$C$15*(1+E$17)^(ROW(INDIRECT("1:10"))-1)*(1-Assumptions!$C$17)-Assumptions!$C$7/Assumptions!$C$18)*(1-Assumptions!$C$19)+Assumptions!$C$7/Assumptions!$C$18)/(1+$B21)^ROW(INDIRECT("1:10")))+Assumptions!$C$10*(1-Assumptions!$C$19)/(1+$B21)^10</f>
        <v>12246862.4983439</v>
      </c>
      <c r="F21" s="23" t="n">
        <f aca="true">-Assumptions!$C$12+SUMPRODUCT(((Assumptions!$C$15*(1+F$17)^(ROW(INDIRECT("1:10"))-1)*(1-Assumptions!$C$17)-Assumptions!$C$7/Assumptions!$C$18)*(1-Assumptions!$C$19)+Assumptions!$C$7/Assumptions!$C$18)/(1+$B21)^ROW(INDIRECT("1:10")))+Assumptions!$C$10*(1-Assumptions!$C$19)/(1+$B21)^10</f>
        <v>16304906.1863359</v>
      </c>
      <c r="G21" s="23" t="n">
        <f aca="true">-Assumptions!$C$12+SUMPRODUCT(((Assumptions!$C$15*(1+G$17)^(ROW(INDIRECT("1:10"))-1)*(1-Assumptions!$C$17)-Assumptions!$C$7/Assumptions!$C$18)*(1-Assumptions!$C$19)+Assumptions!$C$7/Assumptions!$C$18)/(1+$B21)^ROW(INDIRECT("1:10")))+Assumptions!$C$10*(1-Assumptions!$C$19)/(1+$B21)^10</f>
        <v>20772715.35545</v>
      </c>
      <c r="H21" s="23" t="n">
        <f aca="true">-Assumptions!$C$12+SUMPRODUCT(((Assumptions!$C$15*(1+H$17)^(ROW(INDIRECT("1:10"))-1)*(1-Assumptions!$C$17)-Assumptions!$C$7/Assumptions!$C$18)*(1-Assumptions!$C$19)+Assumptions!$C$7/Assumptions!$C$18)/(1+$B21)^ROW(INDIRECT("1:10")))+Assumptions!$C$10*(1-Assumptions!$C$19)/(1+$B21)^10</f>
        <v>25691939.4403723</v>
      </c>
      <c r="I21" s="23" t="n">
        <f aca="true">-Assumptions!$C$12+SUMPRODUCT(((Assumptions!$C$15*(1+I$17)^(ROW(INDIRECT("1:10"))-1)*(1-Assumptions!$C$17)-Assumptions!$C$7/Assumptions!$C$18)*(1-Assumptions!$C$19)+Assumptions!$C$7/Assumptions!$C$18)/(1+$B21)^ROW(INDIRECT("1:10")))+Assumptions!$C$10*(1-Assumptions!$C$19)/(1+$B21)^10</f>
        <v>31108102.9165159</v>
      </c>
    </row>
    <row r="22" customFormat="false" ht="15" hidden="false" customHeight="false" outlineLevel="0" collapsed="false">
      <c r="B22" s="47" t="n">
        <v>0.13</v>
      </c>
      <c r="C22" s="23" t="n">
        <f aca="true">-Assumptions!$C$12+SUMPRODUCT(((Assumptions!$C$15*(1+C$17)^(ROW(INDIRECT("1:10"))-1)*(1-Assumptions!$C$17)-Assumptions!$C$7/Assumptions!$C$18)*(1-Assumptions!$C$19)+Assumptions!$C$7/Assumptions!$C$18)/(1+$B22)^ROW(INDIRECT("1:10")))+Assumptions!$C$10*(1-Assumptions!$C$19)/(1+$B22)^10</f>
        <v>1108174.96592353</v>
      </c>
      <c r="D22" s="23" t="n">
        <f aca="true">-Assumptions!$C$12+SUMPRODUCT(((Assumptions!$C$15*(1+D$17)^(ROW(INDIRECT("1:10"))-1)*(1-Assumptions!$C$17)-Assumptions!$C$7/Assumptions!$C$18)*(1-Assumptions!$C$19)+Assumptions!$C$7/Assumptions!$C$18)/(1+$B22)^ROW(INDIRECT("1:10")))+Assumptions!$C$10*(1-Assumptions!$C$19)/(1+$B22)^10</f>
        <v>4080408.71899904</v>
      </c>
      <c r="E22" s="23" t="n">
        <f aca="true">-Assumptions!$C$12+SUMPRODUCT(((Assumptions!$C$15*(1+E$17)^(ROW(INDIRECT("1:10"))-1)*(1-Assumptions!$C$17)-Assumptions!$C$7/Assumptions!$C$18)*(1-Assumptions!$C$19)+Assumptions!$C$7/Assumptions!$C$18)/(1+$B22)^ROW(INDIRECT("1:10")))+Assumptions!$C$10*(1-Assumptions!$C$19)/(1+$B22)^10</f>
        <v>7345274.05613668</v>
      </c>
      <c r="F22" s="23" t="n">
        <f aca="true">-Assumptions!$C$12+SUMPRODUCT(((Assumptions!$C$15*(1+F$17)^(ROW(INDIRECT("1:10"))-1)*(1-Assumptions!$C$17)-Assumptions!$C$7/Assumptions!$C$18)*(1-Assumptions!$C$19)+Assumptions!$C$7/Assumptions!$C$18)/(1+$B22)^ROW(INDIRECT("1:10")))+Assumptions!$C$10*(1-Assumptions!$C$19)/(1+$B22)^10</f>
        <v>10932575.4581945</v>
      </c>
      <c r="G22" s="23" t="n">
        <f aca="true">-Assumptions!$C$12+SUMPRODUCT(((Assumptions!$C$15*(1+G$17)^(ROW(INDIRECT("1:10"))-1)*(1-Assumptions!$C$17)-Assumptions!$C$7/Assumptions!$C$18)*(1-Assumptions!$C$19)+Assumptions!$C$7/Assumptions!$C$18)/(1+$B22)^ROW(INDIRECT("1:10")))+Assumptions!$C$10*(1-Assumptions!$C$19)/(1+$B22)^10</f>
        <v>14874933.7308308</v>
      </c>
      <c r="H22" s="23" t="n">
        <f aca="true">-Assumptions!$C$12+SUMPRODUCT(((Assumptions!$C$15*(1+H$17)^(ROW(INDIRECT("1:10"))-1)*(1-Assumptions!$C$17)-Assumptions!$C$7/Assumptions!$C$18)*(1-Assumptions!$C$19)+Assumptions!$C$7/Assumptions!$C$18)/(1+$B22)^ROW(INDIRECT("1:10")))+Assumptions!$C$10*(1-Assumptions!$C$19)/(1+$B22)^10</f>
        <v>19208016.8914979</v>
      </c>
      <c r="I22" s="23" t="n">
        <f aca="true">-Assumptions!$C$12+SUMPRODUCT(((Assumptions!$C$15*(1+I$17)^(ROW(INDIRECT("1:10"))-1)*(1-Assumptions!$C$17)-Assumptions!$C$7/Assumptions!$C$18)*(1-Assumptions!$C$19)+Assumptions!$C$7/Assumptions!$C$18)/(1+$B22)^ROW(INDIRECT("1:10")))+Assumptions!$C$10*(1-Assumptions!$C$19)/(1+$B22)^10</f>
        <v>23970786.5095808</v>
      </c>
    </row>
    <row r="23" customFormat="false" ht="15" hidden="false" customHeight="false" outlineLevel="0" collapsed="false">
      <c r="B23" s="47" t="n">
        <v>0.15</v>
      </c>
      <c r="C23" s="23" t="n">
        <f aca="true">-Assumptions!$C$12+SUMPRODUCT(((Assumptions!$C$15*(1+C$17)^(ROW(INDIRECT("1:10"))-1)*(1-Assumptions!$C$17)-Assumptions!$C$7/Assumptions!$C$18)*(1-Assumptions!$C$19)+Assumptions!$C$7/Assumptions!$C$18)/(1+$B23)^ROW(INDIRECT("1:10")))+Assumptions!$C$10*(1-Assumptions!$C$19)/(1+$B23)^10</f>
        <v>-2497809.57412803</v>
      </c>
      <c r="D23" s="23" t="n">
        <f aca="true">-Assumptions!$C$12+SUMPRODUCT(((Assumptions!$C$15*(1+D$17)^(ROW(INDIRECT("1:10"))-1)*(1-Assumptions!$C$17)-Assumptions!$C$7/Assumptions!$C$18)*(1-Assumptions!$C$19)+Assumptions!$C$7/Assumptions!$C$18)/(1+$B23)^ROW(INDIRECT("1:10")))+Assumptions!$C$10*(1-Assumptions!$C$19)/(1+$B23)^10</f>
        <v>149801.692074448</v>
      </c>
      <c r="E23" s="23" t="n">
        <f aca="true">-Assumptions!$C$12+SUMPRODUCT(((Assumptions!$C$15*(1+E$17)^(ROW(INDIRECT("1:10"))-1)*(1-Assumptions!$C$17)-Assumptions!$C$7/Assumptions!$C$18)*(1-Assumptions!$C$19)+Assumptions!$C$7/Assumptions!$C$18)/(1+$B23)^ROW(INDIRECT("1:10")))+Assumptions!$C$10*(1-Assumptions!$C$19)/(1+$B23)^10</f>
        <v>3052458.13464179</v>
      </c>
      <c r="F23" s="23" t="n">
        <f aca="true">-Assumptions!$C$12+SUMPRODUCT(((Assumptions!$C$15*(1+F$17)^(ROW(INDIRECT("1:10"))-1)*(1-Assumptions!$C$17)-Assumptions!$C$7/Assumptions!$C$18)*(1-Assumptions!$C$19)+Assumptions!$C$7/Assumptions!$C$18)/(1+$B23)^ROW(INDIRECT("1:10")))+Assumptions!$C$10*(1-Assumptions!$C$19)/(1+$B23)^10</f>
        <v>6235804.35766874</v>
      </c>
      <c r="G23" s="23" t="n">
        <f aca="true">-Assumptions!$C$12+SUMPRODUCT(((Assumptions!$C$15*(1+G$17)^(ROW(INDIRECT("1:10"))-1)*(1-Assumptions!$C$17)-Assumptions!$C$7/Assumptions!$C$18)*(1-Assumptions!$C$19)+Assumptions!$C$7/Assumptions!$C$18)/(1+$B23)^ROW(INDIRECT("1:10")))+Assumptions!$C$10*(1-Assumptions!$C$19)/(1+$B23)^10</f>
        <v>9727888.38861111</v>
      </c>
      <c r="H23" s="23" t="n">
        <f aca="true">-Assumptions!$C$12+SUMPRODUCT(((Assumptions!$C$15*(1+H$17)^(ROW(INDIRECT("1:10"))-1)*(1-Assumptions!$C$17)-Assumptions!$C$7/Assumptions!$C$18)*(1-Assumptions!$C$19)+Assumptions!$C$7/Assumptions!$C$18)/(1+$B23)^ROW(INDIRECT("1:10")))+Assumptions!$C$10*(1-Assumptions!$C$19)/(1+$B23)^10</f>
        <v>13559357.6125527</v>
      </c>
      <c r="I23" s="23" t="n">
        <f aca="true">-Assumptions!$C$12+SUMPRODUCT(((Assumptions!$C$15*(1+I$17)^(ROW(INDIRECT("1:10"))-1)*(1-Assumptions!$C$17)-Assumptions!$C$7/Assumptions!$C$18)*(1-Assumptions!$C$19)+Assumptions!$C$7/Assumptions!$C$18)/(1+$B23)^ROW(INDIRECT("1:10")))+Assumptions!$C$10*(1-Assumptions!$C$19)/(1+$B23)^10</f>
        <v>17763667.7673863</v>
      </c>
    </row>
    <row r="25" customFormat="false" ht="15" hidden="false" customHeight="false" outlineLevel="0" collapsed="false">
      <c r="B25" s="49" t="s">
        <v>165</v>
      </c>
      <c r="C25" s="49"/>
      <c r="D25" s="49"/>
      <c r="E25" s="49"/>
      <c r="F25" s="49"/>
      <c r="G25" s="49"/>
      <c r="H25" s="49"/>
      <c r="I25" s="49"/>
    </row>
  </sheetData>
  <mergeCells count="2">
    <mergeCell ref="B2:M2"/>
    <mergeCell ref="B25:I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0"/>
    <col collapsed="false" customWidth="true" hidden="false" outlineLevel="0" max="5" min="3" style="0" width="16"/>
    <col collapsed="false" customWidth="true" hidden="false" outlineLevel="0" max="6" min="6" style="0" width="38"/>
  </cols>
  <sheetData>
    <row r="2" customFormat="false" ht="21.75" hidden="false" customHeight="true" outlineLevel="0" collapsed="false">
      <c r="B2" s="1" t="s">
        <v>166</v>
      </c>
      <c r="C2" s="1"/>
      <c r="D2" s="1"/>
      <c r="E2" s="1"/>
      <c r="F2" s="1"/>
    </row>
    <row r="3" customFormat="false" ht="15" hidden="false" customHeight="false" outlineLevel="0" collapsed="false">
      <c r="B3" s="3" t="s">
        <v>167</v>
      </c>
    </row>
    <row r="5" customFormat="false" ht="27.75" hidden="false" customHeight="true" outlineLevel="0" collapsed="false">
      <c r="B5" s="10" t="s">
        <v>168</v>
      </c>
      <c r="C5" s="10" t="s">
        <v>35</v>
      </c>
    </row>
    <row r="6" customFormat="false" ht="15" hidden="false" customHeight="false" outlineLevel="0" collapsed="false">
      <c r="B6" s="13" t="s">
        <v>169</v>
      </c>
      <c r="C6" s="50" t="n">
        <f aca="false">Assumptions!C23</f>
        <v>850</v>
      </c>
    </row>
    <row r="7" customFormat="false" ht="15" hidden="false" customHeight="false" outlineLevel="0" collapsed="false">
      <c r="B7" s="13" t="s">
        <v>66</v>
      </c>
      <c r="C7" s="51" t="n">
        <f aca="false">Assumptions!C24</f>
        <v>2.4</v>
      </c>
    </row>
    <row r="8" customFormat="false" ht="15" hidden="false" customHeight="false" outlineLevel="0" collapsed="false">
      <c r="B8" s="13" t="s">
        <v>68</v>
      </c>
      <c r="C8" s="34" t="n">
        <f aca="false">Assumptions!C25</f>
        <v>0.72</v>
      </c>
    </row>
    <row r="9" customFormat="false" ht="15" hidden="false" customHeight="false" outlineLevel="0" collapsed="false">
      <c r="B9" s="13" t="s">
        <v>70</v>
      </c>
      <c r="C9" s="34" t="n">
        <f aca="false">Assumptions!C26</f>
        <v>0.34</v>
      </c>
    </row>
    <row r="10" customFormat="false" ht="15" hidden="false" customHeight="false" outlineLevel="0" collapsed="false">
      <c r="B10" s="13" t="s">
        <v>72</v>
      </c>
      <c r="C10" s="50" t="n">
        <f aca="false">Assumptions!C27</f>
        <v>140</v>
      </c>
    </row>
    <row r="11" customFormat="false" ht="15" hidden="false" customHeight="false" outlineLevel="0" collapsed="false">
      <c r="B11" s="12"/>
      <c r="C11" s="12"/>
    </row>
    <row r="12" customFormat="false" ht="18" hidden="false" customHeight="true" outlineLevel="0" collapsed="false">
      <c r="B12" s="11" t="s">
        <v>170</v>
      </c>
      <c r="C12" s="12"/>
    </row>
    <row r="13" customFormat="false" ht="15" hidden="false" customHeight="false" outlineLevel="0" collapsed="false">
      <c r="B13" s="13" t="s">
        <v>171</v>
      </c>
      <c r="C13" s="52" t="n">
        <f aca="false">C6*C7</f>
        <v>2040</v>
      </c>
    </row>
    <row r="14" customFormat="false" ht="15" hidden="false" customHeight="false" outlineLevel="0" collapsed="false">
      <c r="B14" s="17" t="s">
        <v>172</v>
      </c>
      <c r="C14" s="53" t="n">
        <f aca="false">C13*C9</f>
        <v>693.6</v>
      </c>
    </row>
    <row r="15" customFormat="false" ht="15" hidden="false" customHeight="false" outlineLevel="0" collapsed="false">
      <c r="B15" s="17" t="s">
        <v>173</v>
      </c>
      <c r="C15" s="37" t="n">
        <f aca="false">1/(1-C8)</f>
        <v>3.57142857142857</v>
      </c>
    </row>
    <row r="16" customFormat="false" ht="15" hidden="false" customHeight="false" outlineLevel="0" collapsed="false">
      <c r="B16" s="13" t="s">
        <v>174</v>
      </c>
      <c r="C16" s="52" t="n">
        <f aca="false">C14*C15</f>
        <v>2477.14285714286</v>
      </c>
    </row>
    <row r="17" customFormat="false" ht="15" hidden="false" customHeight="false" outlineLevel="0" collapsed="false">
      <c r="B17" s="13" t="s">
        <v>175</v>
      </c>
      <c r="C17" s="52" t="n">
        <f aca="false">-C10</f>
        <v>-140</v>
      </c>
    </row>
    <row r="18" customFormat="false" ht="15" hidden="false" customHeight="false" outlineLevel="0" collapsed="false">
      <c r="B18" s="17" t="s">
        <v>176</v>
      </c>
      <c r="C18" s="54" t="n">
        <f aca="false">C16-C10</f>
        <v>2337.14285714286</v>
      </c>
    </row>
    <row r="19" customFormat="false" ht="15" hidden="false" customHeight="false" outlineLevel="0" collapsed="false">
      <c r="B19" s="17" t="s">
        <v>177</v>
      </c>
      <c r="C19" s="55" t="n">
        <f aca="false">C16/C10</f>
        <v>17.6938775510204</v>
      </c>
    </row>
    <row r="21" customFormat="false" ht="18" hidden="false" customHeight="true" outlineLevel="0" collapsed="false">
      <c r="B21" s="4" t="s">
        <v>178</v>
      </c>
    </row>
    <row r="22" customFormat="false" ht="15" hidden="false" customHeight="false" outlineLevel="0" collapsed="false">
      <c r="B22" s="46" t="s">
        <v>179</v>
      </c>
    </row>
    <row r="23" customFormat="false" ht="27.75" hidden="false" customHeight="true" outlineLevel="0" collapsed="false">
      <c r="B23" s="10" t="s">
        <v>87</v>
      </c>
      <c r="C23" s="10" t="s">
        <v>180</v>
      </c>
      <c r="D23" s="10" t="s">
        <v>181</v>
      </c>
      <c r="E23" s="10" t="s">
        <v>135</v>
      </c>
      <c r="F23" s="10" t="s">
        <v>182</v>
      </c>
    </row>
    <row r="24" customFormat="false" ht="15" hidden="false" customHeight="false" outlineLevel="0" collapsed="false">
      <c r="B24" s="13" t="s">
        <v>89</v>
      </c>
      <c r="C24" s="32" t="n">
        <f aca="false">1</f>
        <v>1</v>
      </c>
      <c r="D24" s="52" t="n">
        <f aca="false">C24*$C$14</f>
        <v>693.6</v>
      </c>
      <c r="E24" s="35" t="n">
        <f aca="false">1/(1+Assumptions!$C$20)^1</f>
        <v>0.91743119266055</v>
      </c>
      <c r="F24" s="52" t="n">
        <f aca="false">D24*E24</f>
        <v>636.330275229358</v>
      </c>
    </row>
    <row r="25" customFormat="false" ht="15" hidden="false" customHeight="false" outlineLevel="0" collapsed="false">
      <c r="B25" s="13" t="s">
        <v>90</v>
      </c>
      <c r="C25" s="32" t="n">
        <f aca="false">C24*$C$8</f>
        <v>0.72</v>
      </c>
      <c r="D25" s="52" t="n">
        <f aca="false">C25*$C$14</f>
        <v>499.392</v>
      </c>
      <c r="E25" s="35" t="n">
        <f aca="false">1/(1+Assumptions!$C$20)^2</f>
        <v>0.84167999326656</v>
      </c>
      <c r="F25" s="52" t="n">
        <f aca="false">D25*E25</f>
        <v>420.328255197374</v>
      </c>
    </row>
    <row r="26" customFormat="false" ht="15" hidden="false" customHeight="false" outlineLevel="0" collapsed="false">
      <c r="B26" s="13" t="s">
        <v>91</v>
      </c>
      <c r="C26" s="32" t="n">
        <f aca="false">C25*$C$8</f>
        <v>0.5184</v>
      </c>
      <c r="D26" s="52" t="n">
        <f aca="false">C26*$C$14</f>
        <v>359.56224</v>
      </c>
      <c r="E26" s="35" t="n">
        <f aca="false">1/(1+Assumptions!$C$20)^3</f>
        <v>0.772183480061064</v>
      </c>
      <c r="F26" s="52" t="n">
        <f aca="false">D26*E26</f>
        <v>277.648021781752</v>
      </c>
    </row>
    <row r="27" customFormat="false" ht="15" hidden="false" customHeight="false" outlineLevel="0" collapsed="false">
      <c r="B27" s="13" t="s">
        <v>92</v>
      </c>
      <c r="C27" s="32" t="n">
        <f aca="false">C26*$C$8</f>
        <v>0.373248</v>
      </c>
      <c r="D27" s="52" t="n">
        <f aca="false">C27*$C$14</f>
        <v>258.8848128</v>
      </c>
      <c r="E27" s="35" t="n">
        <f aca="false">1/(1+Assumptions!$C$20)^4</f>
        <v>0.708425211065196</v>
      </c>
      <c r="F27" s="52" t="n">
        <f aca="false">D27*E27</f>
        <v>183.400528149414</v>
      </c>
    </row>
    <row r="28" customFormat="false" ht="15" hidden="false" customHeight="false" outlineLevel="0" collapsed="false">
      <c r="B28" s="13" t="s">
        <v>93</v>
      </c>
      <c r="C28" s="32" t="n">
        <f aca="false">C27*$C$8</f>
        <v>0.26873856</v>
      </c>
      <c r="D28" s="52" t="n">
        <f aca="false">C28*$C$14</f>
        <v>186.397065216</v>
      </c>
      <c r="E28" s="35" t="n">
        <f aca="false">1/(1+Assumptions!$C$20)^5</f>
        <v>0.649931386298345</v>
      </c>
      <c r="F28" s="52" t="n">
        <f aca="false">D28*E28</f>
        <v>121.145302997778</v>
      </c>
    </row>
    <row r="29" customFormat="false" ht="15" hidden="false" customHeight="false" outlineLevel="0" collapsed="false">
      <c r="B29" s="13" t="s">
        <v>94</v>
      </c>
      <c r="C29" s="32" t="n">
        <f aca="false">C28*$C$8</f>
        <v>0.1934917632</v>
      </c>
      <c r="D29" s="52" t="n">
        <f aca="false">C29*$C$14</f>
        <v>134.20588695552</v>
      </c>
      <c r="E29" s="35" t="n">
        <f aca="false">1/(1+Assumptions!$C$20)^6</f>
        <v>0.596267326879216</v>
      </c>
      <c r="F29" s="52" t="n">
        <f aca="false">D29*E29</f>
        <v>80.0225854664221</v>
      </c>
    </row>
    <row r="30" customFormat="false" ht="15" hidden="false" customHeight="false" outlineLevel="0" collapsed="false">
      <c r="B30" s="13" t="s">
        <v>95</v>
      </c>
      <c r="C30" s="32" t="n">
        <f aca="false">C29*$C$8</f>
        <v>0.139314069504</v>
      </c>
      <c r="D30" s="52" t="n">
        <f aca="false">C30*$C$14</f>
        <v>96.6282386079744</v>
      </c>
      <c r="E30" s="35" t="n">
        <f aca="false">1/(1+Assumptions!$C$20)^7</f>
        <v>0.547034244843317</v>
      </c>
      <c r="F30" s="52" t="n">
        <f aca="false">D30*E30</f>
        <v>52.8589555374531</v>
      </c>
    </row>
    <row r="31" customFormat="false" ht="15" hidden="false" customHeight="false" outlineLevel="0" collapsed="false">
      <c r="B31" s="13" t="s">
        <v>96</v>
      </c>
      <c r="C31" s="32" t="n">
        <f aca="false">C30*$C$8</f>
        <v>0.10030613004288</v>
      </c>
      <c r="D31" s="52" t="n">
        <f aca="false">C31*$C$14</f>
        <v>69.5723317977416</v>
      </c>
      <c r="E31" s="35" t="n">
        <f aca="false">1/(1+Assumptions!$C$20)^8</f>
        <v>0.501866279672768</v>
      </c>
      <c r="F31" s="52" t="n">
        <f aca="false">D31*E31</f>
        <v>34.916007327492</v>
      </c>
    </row>
    <row r="32" customFormat="false" ht="15" hidden="false" customHeight="false" outlineLevel="0" collapsed="false">
      <c r="B32" s="13" t="s">
        <v>97</v>
      </c>
      <c r="C32" s="32" t="n">
        <f aca="false">C31*$C$8</f>
        <v>0.0722204136308736</v>
      </c>
      <c r="D32" s="52" t="n">
        <f aca="false">C32*$C$14</f>
        <v>50.0920788943739</v>
      </c>
      <c r="E32" s="35" t="n">
        <f aca="false">1/(1+Assumptions!$C$20)^9</f>
        <v>0.460427779516301</v>
      </c>
      <c r="F32" s="52" t="n">
        <f aca="false">D32*E32</f>
        <v>23.0637846566919</v>
      </c>
    </row>
    <row r="33" customFormat="false" ht="15" hidden="false" customHeight="false" outlineLevel="0" collapsed="false">
      <c r="B33" s="13" t="s">
        <v>98</v>
      </c>
      <c r="C33" s="32" t="n">
        <f aca="false">C32*$C$8</f>
        <v>0.051998697814229</v>
      </c>
      <c r="D33" s="52" t="n">
        <f aca="false">C33*$C$14</f>
        <v>36.0662968039492</v>
      </c>
      <c r="E33" s="35" t="n">
        <f aca="false">1/(1+Assumptions!$C$20)^10</f>
        <v>0.422410806895689</v>
      </c>
      <c r="F33" s="52" t="n">
        <f aca="false">D33*E33</f>
        <v>15.2347935346956</v>
      </c>
    </row>
    <row r="35" customFormat="false" ht="15" hidden="false" customHeight="false" outlineLevel="0" collapsed="false">
      <c r="B35" s="6" t="s">
        <v>183</v>
      </c>
      <c r="C35" s="56" t="n">
        <f aca="false">SUM(F24:F33)</f>
        <v>1844.94850987843</v>
      </c>
    </row>
    <row r="36" customFormat="false" ht="15" hidden="false" customHeight="false" outlineLevel="0" collapsed="false">
      <c r="B36" s="6" t="s">
        <v>184</v>
      </c>
      <c r="C36" s="56" t="n">
        <f aca="false">C35-C10</f>
        <v>1704.94850987843</v>
      </c>
    </row>
    <row r="38" customFormat="false" ht="18" hidden="false" customHeight="true" outlineLevel="0" collapsed="false">
      <c r="B38" s="4" t="s">
        <v>128</v>
      </c>
    </row>
    <row r="39" customFormat="false" ht="45" hidden="false" customHeight="true" outlineLevel="0" collapsed="false">
      <c r="B39" s="33" t="s">
        <v>185</v>
      </c>
      <c r="C39" s="33"/>
      <c r="D39" s="33"/>
      <c r="E39" s="33"/>
      <c r="F39" s="33"/>
    </row>
    <row r="40" customFormat="false" ht="15" hidden="false" customHeight="false" outlineLevel="0" collapsed="false">
      <c r="B40" s="33"/>
      <c r="C40" s="33"/>
      <c r="D40" s="33"/>
      <c r="E40" s="33"/>
      <c r="F40" s="33"/>
    </row>
    <row r="41" customFormat="false" ht="15" hidden="false" customHeight="false" outlineLevel="0" collapsed="false">
      <c r="B41" s="33"/>
      <c r="C41" s="33"/>
      <c r="D41" s="33"/>
      <c r="E41" s="33"/>
      <c r="F41" s="33"/>
    </row>
  </sheetData>
  <mergeCells count="2">
    <mergeCell ref="B2:F2"/>
    <mergeCell ref="B39:F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0"/>
    <col collapsed="false" customWidth="true" hidden="false" outlineLevel="0" max="5" min="3" style="0" width="16"/>
    <col collapsed="false" customWidth="true" hidden="false" outlineLevel="0" max="6" min="6" style="0" width="38"/>
  </cols>
  <sheetData>
    <row r="2" customFormat="false" ht="21.75" hidden="false" customHeight="true" outlineLevel="0" collapsed="false">
      <c r="B2" s="1" t="s">
        <v>186</v>
      </c>
      <c r="C2" s="1"/>
      <c r="D2" s="1"/>
      <c r="E2" s="1"/>
      <c r="F2" s="1"/>
    </row>
    <row r="3" customFormat="false" ht="15" hidden="false" customHeight="false" outlineLevel="0" collapsed="false">
      <c r="B3" s="3" t="s">
        <v>187</v>
      </c>
    </row>
    <row r="5" customFormat="false" ht="27.75" hidden="false" customHeight="true" outlineLevel="0" collapsed="false">
      <c r="B5" s="10" t="s">
        <v>168</v>
      </c>
      <c r="C5" s="10" t="s">
        <v>35</v>
      </c>
    </row>
    <row r="6" customFormat="false" ht="15" hidden="false" customHeight="false" outlineLevel="0" collapsed="false">
      <c r="B6" s="13" t="s">
        <v>188</v>
      </c>
      <c r="C6" s="24" t="n">
        <f aca="false">Assumptions!C30</f>
        <v>21000000</v>
      </c>
    </row>
    <row r="7" customFormat="false" ht="15" hidden="false" customHeight="false" outlineLevel="0" collapsed="false">
      <c r="B7" s="13" t="s">
        <v>189</v>
      </c>
      <c r="C7" s="50" t="n">
        <f aca="false">Assumptions!C31</f>
        <v>310</v>
      </c>
    </row>
    <row r="8" customFormat="false" ht="15" hidden="false" customHeight="false" outlineLevel="0" collapsed="false">
      <c r="B8" s="13" t="s">
        <v>79</v>
      </c>
      <c r="C8" s="50" t="n">
        <f aca="false">Assumptions!C32</f>
        <v>850</v>
      </c>
    </row>
    <row r="9" customFormat="false" ht="15" hidden="false" customHeight="false" outlineLevel="0" collapsed="false">
      <c r="B9" s="13" t="s">
        <v>81</v>
      </c>
      <c r="C9" s="29" t="n">
        <f aca="false">Assumptions!C33</f>
        <v>296</v>
      </c>
    </row>
    <row r="10" customFormat="false" ht="15" hidden="false" customHeight="false" outlineLevel="0" collapsed="false">
      <c r="B10" s="13" t="s">
        <v>83</v>
      </c>
      <c r="C10" s="29" t="n">
        <f aca="false">Assumptions!C34</f>
        <v>365</v>
      </c>
    </row>
    <row r="11" customFormat="false" ht="15" hidden="false" customHeight="false" outlineLevel="0" collapsed="false">
      <c r="B11" s="12"/>
      <c r="C11" s="12"/>
    </row>
    <row r="12" customFormat="false" ht="18" hidden="false" customHeight="true" outlineLevel="0" collapsed="false">
      <c r="B12" s="11" t="s">
        <v>190</v>
      </c>
      <c r="C12" s="12"/>
    </row>
    <row r="13" customFormat="false" ht="15" hidden="false" customHeight="false" outlineLevel="0" collapsed="false">
      <c r="B13" s="17" t="s">
        <v>191</v>
      </c>
      <c r="C13" s="53" t="n">
        <f aca="false">C8-C7</f>
        <v>540</v>
      </c>
    </row>
    <row r="14" customFormat="false" ht="15" hidden="false" customHeight="false" outlineLevel="0" collapsed="false">
      <c r="B14" s="13" t="s">
        <v>192</v>
      </c>
      <c r="C14" s="32" t="n">
        <f aca="false">C13/C8</f>
        <v>0.635294117647059</v>
      </c>
    </row>
    <row r="15" customFormat="false" ht="15" hidden="false" customHeight="false" outlineLevel="0" collapsed="false">
      <c r="B15" s="17" t="s">
        <v>193</v>
      </c>
      <c r="C15" s="57" t="n">
        <f aca="false">C6/C13</f>
        <v>38888.8888888889</v>
      </c>
    </row>
    <row r="16" customFormat="false" ht="15" hidden="false" customHeight="false" outlineLevel="0" collapsed="false">
      <c r="B16" s="17" t="s">
        <v>194</v>
      </c>
      <c r="C16" s="18" t="n">
        <f aca="false">C15*C8</f>
        <v>33055555.5555556</v>
      </c>
    </row>
    <row r="17" customFormat="false" ht="15" hidden="false" customHeight="false" outlineLevel="0" collapsed="false">
      <c r="B17" s="13" t="s">
        <v>195</v>
      </c>
      <c r="C17" s="36" t="n">
        <f aca="false">C9*C10*2</f>
        <v>216080</v>
      </c>
    </row>
    <row r="18" customFormat="false" ht="15" hidden="false" customHeight="false" outlineLevel="0" collapsed="false">
      <c r="B18" s="17" t="s">
        <v>196</v>
      </c>
      <c r="C18" s="58" t="n">
        <f aca="false">C15/C17</f>
        <v>0.179974495042988</v>
      </c>
    </row>
    <row r="19" customFormat="false" ht="15" hidden="false" customHeight="false" outlineLevel="0" collapsed="false">
      <c r="B19" s="13" t="s">
        <v>197</v>
      </c>
      <c r="C19" s="36" t="n">
        <f aca="false">Assumptions!C15/C8</f>
        <v>37647.0588235294</v>
      </c>
    </row>
    <row r="20" customFormat="false" ht="15" hidden="false" customHeight="false" outlineLevel="0" collapsed="false">
      <c r="B20" s="13" t="s">
        <v>198</v>
      </c>
      <c r="C20" s="32" t="n">
        <f aca="false">C19/C17</f>
        <v>0.17422741032733</v>
      </c>
    </row>
    <row r="21" customFormat="false" ht="15" hidden="false" customHeight="false" outlineLevel="0" collapsed="false">
      <c r="B21" s="17" t="s">
        <v>199</v>
      </c>
      <c r="C21" s="28" t="n">
        <f aca="false">C20-C18</f>
        <v>-0.00574708471565846</v>
      </c>
    </row>
    <row r="23" customFormat="false" ht="18" hidden="false" customHeight="true" outlineLevel="0" collapsed="false">
      <c r="B23" s="4" t="s">
        <v>200</v>
      </c>
    </row>
    <row r="25" customFormat="false" ht="27.75" hidden="false" customHeight="true" outlineLevel="0" collapsed="false">
      <c r="B25" s="10" t="s">
        <v>201</v>
      </c>
      <c r="C25" s="10" t="s">
        <v>202</v>
      </c>
    </row>
    <row r="26" customFormat="false" ht="15" hidden="false" customHeight="false" outlineLevel="0" collapsed="false">
      <c r="B26" s="32" t="n">
        <v>0.5</v>
      </c>
      <c r="C26" s="23" t="n">
        <f aca="false">B26*$C$17*$C$13-$C$6</f>
        <v>37341600</v>
      </c>
    </row>
    <row r="27" customFormat="false" ht="15" hidden="false" customHeight="false" outlineLevel="0" collapsed="false">
      <c r="B27" s="32" t="n">
        <v>0.55</v>
      </c>
      <c r="C27" s="23" t="n">
        <f aca="false">B27*$C$17*$C$13-$C$6</f>
        <v>43175760</v>
      </c>
    </row>
    <row r="28" customFormat="false" ht="15" hidden="false" customHeight="false" outlineLevel="0" collapsed="false">
      <c r="B28" s="32" t="n">
        <v>0.6</v>
      </c>
      <c r="C28" s="23" t="n">
        <f aca="false">B28*$C$17*$C$13-$C$6</f>
        <v>49009920</v>
      </c>
    </row>
    <row r="29" customFormat="false" ht="15" hidden="false" customHeight="false" outlineLevel="0" collapsed="false">
      <c r="B29" s="32" t="n">
        <v>0.65</v>
      </c>
      <c r="C29" s="23" t="n">
        <f aca="false">B29*$C$17*$C$13-$C$6</f>
        <v>54844080</v>
      </c>
    </row>
    <row r="30" customFormat="false" ht="15" hidden="false" customHeight="false" outlineLevel="0" collapsed="false">
      <c r="B30" s="32" t="n">
        <v>0.7</v>
      </c>
      <c r="C30" s="23" t="n">
        <f aca="false">B30*$C$17*$C$13-$C$6</f>
        <v>60678240</v>
      </c>
    </row>
    <row r="31" customFormat="false" ht="15" hidden="false" customHeight="false" outlineLevel="0" collapsed="false">
      <c r="B31" s="32" t="n">
        <v>0.75</v>
      </c>
      <c r="C31" s="23" t="n">
        <f aca="false">B31*$C$17*$C$13-$C$6</f>
        <v>66512400</v>
      </c>
    </row>
    <row r="32" customFormat="false" ht="15" hidden="false" customHeight="false" outlineLevel="0" collapsed="false">
      <c r="B32" s="32" t="n">
        <v>0.8</v>
      </c>
      <c r="C32" s="23" t="n">
        <f aca="false">B32*$C$17*$C$13-$C$6</f>
        <v>72346560</v>
      </c>
    </row>
    <row r="33" customFormat="false" ht="15" hidden="false" customHeight="false" outlineLevel="0" collapsed="false">
      <c r="B33" s="32" t="n">
        <v>0.85</v>
      </c>
      <c r="C33" s="23" t="n">
        <f aca="false">B33*$C$17*$C$13-$C$6</f>
        <v>78180720</v>
      </c>
    </row>
    <row r="34" customFormat="false" ht="15" hidden="false" customHeight="false" outlineLevel="0" collapsed="false">
      <c r="B34" s="32" t="n">
        <v>0.9</v>
      </c>
      <c r="C34" s="23" t="n">
        <f aca="false">B34*$C$17*$C$13-$C$6</f>
        <v>84014880</v>
      </c>
    </row>
    <row r="35" customFormat="false" ht="15" hidden="false" customHeight="false" outlineLevel="0" collapsed="false">
      <c r="B35" s="32" t="n">
        <v>0.95</v>
      </c>
      <c r="C35" s="23" t="n">
        <f aca="false">B35*$C$17*$C$13-$C$6</f>
        <v>89849040</v>
      </c>
    </row>
    <row r="37" customFormat="false" ht="18" hidden="false" customHeight="true" outlineLevel="0" collapsed="false">
      <c r="B37" s="4" t="s">
        <v>128</v>
      </c>
    </row>
    <row r="38" customFormat="false" ht="45" hidden="false" customHeight="true" outlineLevel="0" collapsed="false">
      <c r="B38" s="33" t="s">
        <v>203</v>
      </c>
      <c r="C38" s="33"/>
      <c r="D38" s="33"/>
      <c r="E38" s="33"/>
      <c r="F38" s="33"/>
    </row>
    <row r="39" customFormat="false" ht="15" hidden="false" customHeight="false" outlineLevel="0" collapsed="false">
      <c r="B39" s="33"/>
      <c r="C39" s="33"/>
      <c r="D39" s="33"/>
      <c r="E39" s="33"/>
      <c r="F39" s="33"/>
    </row>
    <row r="40" customFormat="false" ht="15" hidden="false" customHeight="false" outlineLevel="0" collapsed="false">
      <c r="B40" s="33"/>
      <c r="C40" s="33"/>
      <c r="D40" s="33"/>
      <c r="E40" s="33"/>
      <c r="F40" s="33"/>
    </row>
  </sheetData>
  <mergeCells count="2">
    <mergeCell ref="B2:F2"/>
    <mergeCell ref="B38:F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2026-07-07T19:25:05Z</dcterms:created>
  <dc:creator>openpyxl</dc:creator>
  <dc:description/>
  <dc:language>en-US</dc:language>
  <cp:lastModifiedBy/>
  <dcterms:modified xsi:type="dcterms:W3CDTF">2026-07-07T19:25:05Z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